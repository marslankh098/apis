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apidevpvt-my.sharepoint.com/personal/affan_ahmad_rapidev_ae/Documents/AEGIS/Hytera Comparison/"/>
    </mc:Choice>
  </mc:AlternateContent>
  <xr:revisionPtr revIDLastSave="0" documentId="11_08A572112F435158B86044AE5AD16D5422009172" xr6:coauthVersionLast="47" xr6:coauthVersionMax="47" xr10:uidLastSave="{00000000-0000-0000-0000-000000000000}"/>
  <bookViews>
    <workbookView xWindow="-120" yWindow="-120" windowWidth="29040" windowHeight="15720" tabRatio="592" xr2:uid="{00000000-000D-0000-FFFF-FFFF00000000}"/>
  </bookViews>
  <sheets>
    <sheet name="Overview" sheetId="1" r:id="rId1"/>
    <sheet name="AEGIS Status" sheetId="2" r:id="rId2"/>
    <sheet name="Comms vs HyTalk MC" sheetId="3" r:id="rId3"/>
    <sheet name="MDM vs Smart MDM" sheetId="4" r:id="rId4"/>
    <sheet name="Unique to AEGIS" sheetId="5" r:id="rId5"/>
    <sheet name="Hytera-only (AEGIS gaps)" sheetId="6" r:id="rId6"/>
    <sheet name="Scorecard" sheetId="7" r:id="rId7"/>
  </sheets>
  <definedNames>
    <definedName name="_xlnm._FilterDatabase" localSheetId="2" hidden="1">'Comms vs HyTalk MC'!$A$4:$F$28</definedName>
    <definedName name="_xlnm._FilterDatabase" localSheetId="5" hidden="1">'Hytera-only (AEGIS gaps)'!$A$4:$D$23</definedName>
    <definedName name="_xlnm._FilterDatabase" localSheetId="3" hidden="1">'MDM vs Smart MDM'!$A$4:$F$30</definedName>
    <definedName name="_xlnm._FilterDatabase" localSheetId="4" hidden="1">'Unique to AEGIS'!$A$4:$D$18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7" l="1"/>
  <c r="C21" i="7" s="1"/>
  <c r="B20" i="7"/>
  <c r="C20" i="7" s="1"/>
  <c r="B19" i="7"/>
  <c r="C19" i="7" s="1"/>
  <c r="B18" i="7"/>
  <c r="C18" i="7" s="1"/>
  <c r="B17" i="7"/>
  <c r="C17" i="7" s="1"/>
  <c r="B16" i="7"/>
  <c r="B11" i="7"/>
  <c r="C11" i="7" s="1"/>
  <c r="B10" i="7"/>
  <c r="C10" i="7" s="1"/>
  <c r="B9" i="7"/>
  <c r="C9" i="7" s="1"/>
  <c r="B8" i="7"/>
  <c r="C8" i="7" s="1"/>
  <c r="B7" i="7"/>
  <c r="C7" i="7" s="1"/>
  <c r="B6" i="7"/>
  <c r="B10" i="2"/>
  <c r="C10" i="2" s="1"/>
  <c r="C9" i="2"/>
  <c r="C8" i="2"/>
  <c r="C7" i="2"/>
  <c r="C6" i="2"/>
  <c r="C5" i="2"/>
  <c r="B22" i="7" l="1"/>
  <c r="C16" i="7"/>
  <c r="B12" i="7"/>
  <c r="C6" i="7"/>
</calcChain>
</file>

<file path=xl/sharedStrings.xml><?xml version="1.0" encoding="utf-8"?>
<sst xmlns="http://schemas.openxmlformats.org/spreadsheetml/2006/main" count="554" uniqueCount="377">
  <si>
    <t>Comparison Report — AEGIS MCS vs HyTalk MC &amp; Smart MDM</t>
  </si>
  <si>
    <t>Capability comparison of the AEGIS integrated platform against Hytera HyTalk MC (mission-critical comms) and Smart MDM (device management)</t>
  </si>
  <si>
    <t>1.  Product positioning</t>
  </si>
  <si>
    <t>Attribute</t>
  </si>
  <si>
    <t>AEGIS MCS</t>
  </si>
  <si>
    <t>HyTalk MC (Hytera)</t>
  </si>
  <si>
    <t>Smart MDM (Hytera)</t>
  </si>
  <si>
    <t>Category</t>
  </si>
  <si>
    <t>Integrated public-safety / mission-critical platform</t>
  </si>
  <si>
    <t>Mission-critical PTT, video &amp; messaging client + UNMS server</t>
  </si>
  <si>
    <t>Mobile Device Management for radio/terminal fleets</t>
  </si>
  <si>
    <t>Primary purpose</t>
  </si>
  <si>
    <t>One platform for comms, command &amp; control, incidents, evidence &amp; ANPR/FRS</t>
  </si>
  <si>
    <t>Group/private voice &amp; video, messaging, emergency, TETRA interconnect</t>
  </si>
  <si>
    <t>Programme, secure, monitor &amp; remote-control device fleets</t>
  </si>
  <si>
    <t>Scope (this report)</t>
  </si>
  <si>
    <t>135 features with real implementation status</t>
  </si>
  <si>
    <t>200 features (100 UNMS server + 100 device client)</t>
  </si>
  <si>
    <t>174 build requirements across 7 domains</t>
  </si>
  <si>
    <t>Architecture</t>
  </si>
  <si>
    <t>Docker: Node.js + PostgreSQL + Nginx + coturn; web + Android</t>
  </si>
  <si>
    <t>Carrier-grade MCS/PoC stack; rugged radio devices</t>
  </si>
  <si>
    <t>Windows/CentOS server + Windows client + DTW programmer</t>
  </si>
  <si>
    <t>Target devices</t>
  </si>
  <si>
    <t>Generic Android smartphones + web (PWA) clients</t>
  </si>
  <si>
    <t>Hytera PNC/PDC/PTC/PDM rugged radios</t>
  </si>
  <si>
    <t>Hytera multi-mode, DMR, PDT, TETRA radios + BWC</t>
  </si>
  <si>
    <t>Maturity basis</t>
  </si>
  <si>
    <t>In-development; status measured per feature (see tab 2)</t>
  </si>
  <si>
    <t>Shipping commercial product (capabilities from User Manual V5.0)</t>
  </si>
  <si>
    <t>Shipping commercial product (PD R3.5 + OG V5.2)</t>
  </si>
  <si>
    <t>Status column meaning</t>
  </si>
  <si>
    <t>Actual build state (Working / Partial / UI-only / Not impl. / Simulated)</t>
  </si>
  <si>
    <t>Blank = verification template, NOT 'missing' — features are documented &amp; shipping</t>
  </si>
  <si>
    <t>2.  How to read this comparison</t>
  </si>
  <si>
    <t>•  AEGIS is a single integrated platform that attempts to cover the scope of BOTH Hytera products (comms + MDM) PLUS modules neither Hytera product offers (incident/CAD, ANPR/FRS, BWC evidence, dispatch, analytics, events, personnel).</t>
  </si>
  <si>
    <t>•  The two Hytera files are capability checklists for mature, shipping products. Their 'Pending / Not Started' status cells are blank verification templates — they are NOT evidence that a feature is absent. Treat the listed features as available.</t>
  </si>
  <si>
    <t>•  The AEGIS file is an honest internal build tracker: roughly 59% of features are fully working, the rest are partial, UI-only shells, simulated, or not yet implemented. Verdicts below weigh AEGIS's real build state against Hytera's documented capability.</t>
  </si>
  <si>
    <t>•  Verdict key:  Parity = comparable &amp; working   |   AEGIS leads = AEGIS offers it, Hytera does not   |   Partial = AEGIS has it but incomplete   |   Gap = AEGIS is a stub/UI-only/weak vs full Hytera feature   |   Missing = absent in AEGIS   |   N/A scope = Hytera radio-fleet feature outside AEGIS's product scope.</t>
  </si>
  <si>
    <t>•  Comparison is feature-capability only. It does not assess certification, interoperability standards (3GPP MCPTT, TETRA), field reliability, or security assurance — areas where the shipping Hytera products have a substantial advantage.</t>
  </si>
  <si>
    <t>3.  Headline finding</t>
  </si>
  <si>
    <t>AEGIS is far broader in ambition than either Hytera product and already delivers strong, working incident management, live tracking, SOS, ANPR and an integrated web/Android client set that the Hytera products do not provide. However, against each Hytera product in its own domain AEGIS trails on depth and maturity: its comms layer lacks full-duplex/video/messaging, real codecs, AES media encryption and any TETRA/SIP interworking, while its MDM module is essentially a UI shell with no working backend. Several flagship 'AI' capabilities (FRS, predictive analytics, auto-classification) are simulated. AEGIS wins on breadth and openness; the Hytera products win decisively on depth, security and production maturity within their respective domains.</t>
  </si>
  <si>
    <t>AEGIS MCS — Implementation Status Summary</t>
  </si>
  <si>
    <t>Source: AEGIS MCS Full Feature Status Checklist (135 features)</t>
  </si>
  <si>
    <t>Status</t>
  </si>
  <si>
    <t>Count</t>
  </si>
  <si>
    <t>% of Total</t>
  </si>
  <si>
    <t>Meaning</t>
  </si>
  <si>
    <t>Fully Working</t>
  </si>
  <si>
    <t>Implemented end-to-end with backend</t>
  </si>
  <si>
    <t>Partially Working</t>
  </si>
  <si>
    <t>Backend or UI incomplete / not fully wired</t>
  </si>
  <si>
    <t>UI Only (no backend)</t>
  </si>
  <si>
    <t>Front-end exists; API returns 404 / static data</t>
  </si>
  <si>
    <t>Not Implemented</t>
  </si>
  <si>
    <t>Absent in code</t>
  </si>
  <si>
    <t>Simulated / Fake</t>
  </si>
  <si>
    <t>Randomised or hardcoded output — no real engine</t>
  </si>
  <si>
    <t>TOTAL</t>
  </si>
  <si>
    <t>Key gaps to close (per AEGIS tracker):</t>
  </si>
  <si>
    <t>•  MDM backend — all /api/mdm routes missing</t>
  </si>
  <si>
    <t>•  FRS real AI model (currently random)</t>
  </si>
  <si>
    <t>•  Camera live streaming / BWC video player</t>
  </si>
  <si>
    <t>•  Geofence breach detection</t>
  </si>
  <si>
    <t>•  End-to-end &amp; at-rest encryption (AES label is currently cosmetic)</t>
  </si>
  <si>
    <t>•  Real SIP / voice codec (Opus) — raw PCM only today</t>
  </si>
  <si>
    <t>•  Lab portal API routes</t>
  </si>
  <si>
    <t>Mission-Critical Communications — AEGIS vs HyTalk MC</t>
  </si>
  <si>
    <t>HyTalk MC = shipping Hytera product (capabilities documented). AEGIS status = actual build state.</t>
  </si>
  <si>
    <t>Capability area</t>
  </si>
  <si>
    <t>HyTalk MC capability</t>
  </si>
  <si>
    <t>AEGIS equivalent</t>
  </si>
  <si>
    <t>AEGIS status</t>
  </si>
  <si>
    <t>Verdict</t>
  </si>
  <si>
    <t>Notes / gap</t>
  </si>
  <si>
    <t>Authentication</t>
  </si>
  <si>
    <t>Username + enterprise domain + password; auto-login, remember password</t>
  </si>
  <si>
    <t>Login + JWT, role-based access (6 roles), change password</t>
  </si>
  <si>
    <t>Parity</t>
  </si>
  <si>
    <t>Comparable. AEGIS adds RBAC roles for command structure.</t>
  </si>
  <si>
    <t>PTT group call (half-duplex)</t>
  </si>
  <si>
    <t>Initiate / receive / end; call merging; live member list; auto-answer</t>
  </si>
  <si>
    <t>PTT group floor control + audio relay + session mgmt</t>
  </si>
  <si>
    <t>Partial</t>
  </si>
  <si>
    <t>Core PTT works. AEGIS lacks call-merging and in-call member list.</t>
  </si>
  <si>
    <t>Private call (half-duplex)</t>
  </si>
  <si>
    <t>One-to-one PTT private call via multiple entry points</t>
  </si>
  <si>
    <t>Private 1-to-1 call screen — no signalling backend</t>
  </si>
  <si>
    <t>UI only</t>
  </si>
  <si>
    <t>Gap</t>
  </si>
  <si>
    <t>AEGIS private call is a UI mockup; no call is actually set up.</t>
  </si>
  <si>
    <t>Full-duplex voice (private/group)</t>
  </si>
  <si>
    <t>Full-duplex private &amp; group, call waiting, hold/switch</t>
  </si>
  <si>
    <t>None</t>
  </si>
  <si>
    <t>Not implemented</t>
  </si>
  <si>
    <t>Missing</t>
  </si>
  <si>
    <t>AEGIS is half-duplex PTT only; no full-duplex telephony.</t>
  </si>
  <si>
    <t>Broadcast call</t>
  </si>
  <si>
    <t>One-to-all, initiator-only speaks</t>
  </si>
  <si>
    <t>is_broadcast flag in DB; no client broadcast flow</t>
  </si>
  <si>
    <t>Flag exists; no dedicated broadcast PTT path in clients.</t>
  </si>
  <si>
    <t>Emergency call / group</t>
  </si>
  <si>
    <t>Emergency call via menu, hardware key, group list, dialer; auto-answered</t>
  </si>
  <si>
    <t>Emergency group call + SOS trigger/alerts (Android overlay)</t>
  </si>
  <si>
    <t>Both strong. Hytera offers more initiation paths &amp; hardware key.</t>
  </si>
  <si>
    <t>DGNA (dynamic groups)</t>
  </si>
  <si>
    <t>Create / delete / edit / call dynamic groups, optional encryption</t>
  </si>
  <si>
    <t>DGNA endpoint — DB update only, no radio signalling</t>
  </si>
  <si>
    <t>AEGIS records group in DB but does not signal devices.</t>
  </si>
  <si>
    <t>Group management</t>
  </si>
  <si>
    <t>Browse groups &amp; members, affiliate / deaffiliate</t>
  </si>
  <si>
    <t>MCX groups create/list, add/remove members, call history</t>
  </si>
  <si>
    <t>Comparable group administration.</t>
  </si>
  <si>
    <t>Monitoring / lawful listen</t>
  </si>
  <si>
    <t>Subscribe, monitor live calls, records, unsubscribe</t>
  </si>
  <si>
    <t>Ambient listen — not implemented</t>
  </si>
  <si>
    <t>No covert/monitor listening capability in AEGIS.</t>
  </si>
  <si>
    <t>Voice codec / quality</t>
  </si>
  <si>
    <t>Device-grade codecs (rugged radio audio chain)</t>
  </si>
  <si>
    <t>Raw PCM Base64 over WebSocket; no Opus/AMR</t>
  </si>
  <si>
    <t>No real codec or noise suppression — quality/bandwidth concern.</t>
  </si>
  <si>
    <t>Voice encryption</t>
  </si>
  <si>
    <t>AES128 / AES256 private &amp; group; server key distribution</t>
  </si>
  <si>
    <t>Transport TLS only; payload plaintext (E2E not implemented)</t>
  </si>
  <si>
    <t>Major security gap vs Hytera's encrypted voice.</t>
  </si>
  <si>
    <t>Video group call</t>
  </si>
  <si>
    <t>One-way video group call with PTT audio</t>
  </si>
  <si>
    <t>MCVideo / video call — not implemented</t>
  </si>
  <si>
    <t>No video calling of any kind in AEGIS.</t>
  </si>
  <si>
    <t>Video private call</t>
  </si>
  <si>
    <t>Two-way full-duplex video, switch camera</t>
  </si>
  <si>
    <t>Absent in AEGIS.</t>
  </si>
  <si>
    <t>Live video upload</t>
  </si>
  <si>
    <t>Stream live video to dispatcher (no voice call)</t>
  </si>
  <si>
    <t>BWC live streaming not implemented (upload is post-record only)</t>
  </si>
  <si>
    <t>AEGIS records &amp; uploads BWC files but cannot live-stream.</t>
  </si>
  <si>
    <t>Encrypted video</t>
  </si>
  <si>
    <t>AES128/256 video, server key distribution</t>
  </si>
  <si>
    <t>No video, hence no video encryption.</t>
  </si>
  <si>
    <t>Messaging (text/media/file/location)</t>
  </si>
  <si>
    <t>Text, photo, audio, file, location, quick msgs, multi-recipient</t>
  </si>
  <si>
    <t>No messaging module</t>
  </si>
  <si>
    <t>AEGIS has no person-to-person messaging service.</t>
  </si>
  <si>
    <t>Message features</t>
  </si>
  <si>
    <t>Read receipts, keyword search, reply, forward single/batch</t>
  </si>
  <si>
    <t>Emergency alarm</t>
  </si>
  <si>
    <t>Status-message alarm via menu / hardware key; cancel</t>
  </si>
  <si>
    <t>SOS alert + emergency alerts list + Android long-press overlay</t>
  </si>
  <si>
    <t>AEGIS SOS flow is robust and broadcasts to all.</t>
  </si>
  <si>
    <t>Location &amp; map</t>
  </si>
  <si>
    <t>Subscribe to GIS server; radios/groups on map</t>
  </si>
  <si>
    <t>Live GPS (10s), history, Leaflet/OSMDroid map, geofence creation</t>
  </si>
  <si>
    <t>AEGIS leads</t>
  </si>
  <si>
    <t>AEGIS provides richer mapping + geofence authoring.</t>
  </si>
  <si>
    <t>Account control (Stun/Revive/Kill)</t>
  </si>
  <si>
    <t>Dispatcher stun / revive / kill of accounts</t>
  </si>
  <si>
    <t>STUN/KILL/REVIVE via WS message; no SIP/device enforcement</t>
  </si>
  <si>
    <t>Commands sent but not enforced at device/SIP layer.</t>
  </si>
  <si>
    <t>TETRA interconnection</t>
  </si>
  <si>
    <t>Half/full-duplex private, group, emergency, 1:1 &amp; group SDS across MCS-TETRA</t>
  </si>
  <si>
    <t>No TETRA interworking in AEGIS.</t>
  </si>
  <si>
    <t>SIP / standards stack</t>
  </si>
  <si>
    <t>Carrier-grade MCS/PoC signalling</t>
  </si>
  <si>
    <t>Kamailio present but 0 registrations; SIP calls not implemented</t>
  </si>
  <si>
    <t>SIP proxy unused; comms run on custom WebSocket relay.</t>
  </si>
  <si>
    <t>Diagnostics &amp; logging</t>
  </si>
  <si>
    <t>Login &amp; in-use log capture, upload to UNMS</t>
  </si>
  <si>
    <t>Audit log + system info/health endpoints</t>
  </si>
  <si>
    <t>Different scope; both provide operational logging.</t>
  </si>
  <si>
    <t>Client estate</t>
  </si>
  <si>
    <t>Rugged radios (PNC/PDC/PTC/PDM)</t>
  </si>
  <si>
    <t>Android app + multilingual Web PWA (Arabic RTL + English)</t>
  </si>
  <si>
    <t>AEGIS runs on commodity devices &amp; browsers; Hytera needs its radios.</t>
  </si>
  <si>
    <t>Device Management — AEGIS MDM Module vs Smart MDM</t>
  </si>
  <si>
    <t>Note: Smart MDM manages LMR radio/BWC fleets via a Windows server + DTW; AEGIS MDM targets smartphones and is currently a UI shell.</t>
  </si>
  <si>
    <t>Smart MDM capability</t>
  </si>
  <si>
    <t>Management console</t>
  </si>
  <si>
    <t>Browser-based, no client install; full web admin</t>
  </si>
  <si>
    <t>MDM portal UI exists; all /api/mdm/* return 404</t>
  </si>
  <si>
    <t>Front-end shell only — no MDM server logic.</t>
  </si>
  <si>
    <t>Device enrollment / import</t>
  </si>
  <si>
    <t>Import radio by SN/info; appears in device list</t>
  </si>
  <si>
    <t>Enrollment screen → 404</t>
  </si>
  <si>
    <t>No working enrollment.</t>
  </si>
  <si>
    <t>Fleet / device list</t>
  </si>
  <si>
    <t>Live device inventory &amp; grouping</t>
  </si>
  <si>
    <t>Device list view → 404</t>
  </si>
  <si>
    <t>No live inventory.</t>
  </si>
  <si>
    <t>Device status monitor</t>
  </si>
  <si>
    <t>Status, battery, mode, apps; battery-health &lt;68% warning</t>
  </si>
  <si>
    <t>No functional monitor</t>
  </si>
  <si>
    <t>No device telemetry via MDM.</t>
  </si>
  <si>
    <t>Remote lock</t>
  </si>
  <si>
    <t>Lock device; only MDM can unlock</t>
  </si>
  <si>
    <t>UI button → 404</t>
  </si>
  <si>
    <t>Non-functional.</t>
  </si>
  <si>
    <t>Remote wipe / erase</t>
  </si>
  <si>
    <t>Erase cache / app / SD / comms keys</t>
  </si>
  <si>
    <t>Remote locate</t>
  </si>
  <si>
    <t>Real-time + history positioning; locate lost radio</t>
  </si>
  <si>
    <t>UI button → 404 (note: AEGIS Location module DOES track live, just not wired to MDM)</t>
  </si>
  <si>
    <t>Capability exists elsewhere in AEGIS but not in the MDM module.</t>
  </si>
  <si>
    <t>Factory reset</t>
  </si>
  <si>
    <t>Reset to defaults, retain OS / apps / license</t>
  </si>
  <si>
    <t>No reset command.</t>
  </si>
  <si>
    <t>App management</t>
  </si>
  <si>
    <t>Upload→release→authorize→install→run; black/whitelist; permissions</t>
  </si>
  <si>
    <t>App management UI tab only</t>
  </si>
  <si>
    <t>No app push/lifecycle backend.</t>
  </si>
  <si>
    <t>Compliance / policy</t>
  </si>
  <si>
    <t>Strategy (IFTTT), check-in modes, intrusion detection</t>
  </si>
  <si>
    <t>Compliance UI tab only</t>
  </si>
  <si>
    <t>No policy engine.</t>
  </si>
  <si>
    <t>Push service</t>
  </si>
  <si>
    <t>Proprietary push / OTAP to devices</t>
  </si>
  <si>
    <t>FCM/APNs push — not implemented</t>
  </si>
  <si>
    <t>No push channel to devices.</t>
  </si>
  <si>
    <t>Geofence enforcement</t>
  </si>
  <si>
    <t>IFTTT geofence; action on root/breach</t>
  </si>
  <si>
    <t>Geofence alerts via MDM not implemented (creation exists, no breach detection)</t>
  </si>
  <si>
    <t>AEGIS can draw geofences but never evaluates breaches.</t>
  </si>
  <si>
    <t>Remote control commands</t>
  </si>
  <si>
    <t>22 commands (screenshot, restart, shutdown, OTAP, clear log/tasks, etc.)</t>
  </si>
  <si>
    <t>Only lock/wipe/locate stubs (all 404)</t>
  </si>
  <si>
    <t>Rich command set vs three non-working buttons.</t>
  </si>
  <si>
    <t>Programming / firmware</t>
  </si>
  <si>
    <t>Multi-model template, batch, wireless + DTW cable upgrade</t>
  </si>
  <si>
    <t>N/A scope</t>
  </si>
  <si>
    <t>Radio programming outside AEGIS's smartphone-MDM scope.</t>
  </si>
  <si>
    <t>Key management / KMS</t>
  </si>
  <si>
    <t>E2E / auth / air-interface keys; KMS package build &amp; push</t>
  </si>
  <si>
    <t>Radio key provisioning not in AEGIS scope.</t>
  </si>
  <si>
    <t>Multi-band radio mgmt</t>
  </si>
  <si>
    <t>DMR, PDT, TETRA, broadband, narrowband, BWC management</t>
  </si>
  <si>
    <t>AEGIS manages smartphones, not LMR radios.</t>
  </si>
  <si>
    <t>Kiosk mode / time fence</t>
  </si>
  <si>
    <t>Lock device to set apps; time-based feature policy</t>
  </si>
  <si>
    <t>No kiosk or scheduled-policy capability.</t>
  </si>
  <si>
    <t>Data backup / evidence</t>
  </si>
  <si>
    <t>Cloud backup &amp; restore; upload data as electronic evidence</t>
  </si>
  <si>
    <t>BWC upload + evidence flag (separate module, no crypto chain)</t>
  </si>
  <si>
    <t>AEGIS evidence handling is basic and not MDM-driven.</t>
  </si>
  <si>
    <t>Transport security (SSL)</t>
  </si>
  <si>
    <t>HTTPS + valid certificate</t>
  </si>
  <si>
    <t>HTTPS/WSS via Nginx (self-signed cert)</t>
  </si>
  <si>
    <t>Works but self-signed cert triggers browser warnings.</t>
  </si>
  <si>
    <t>Credential / DB encryption</t>
  </si>
  <si>
    <t>MD5+Salt on sensitive fields; key-field encryption</t>
  </si>
  <si>
    <t>Passwords bcrypt-hashed; DB/files unencrypted at rest</t>
  </si>
  <si>
    <t>Login secure; at-rest data unencrypted.</t>
  </si>
  <si>
    <t>Storage / key encryption</t>
  </si>
  <si>
    <t>Keys &amp; licenses stored in encrypted packages</t>
  </si>
  <si>
    <t>None; AES-256 label is a string only</t>
  </si>
  <si>
    <t>Cosmetic encryption labelling — no real crypto.</t>
  </si>
  <si>
    <t>Role-based admin</t>
  </si>
  <si>
    <t>Role + group scoped administrators</t>
  </si>
  <si>
    <t>RBAC (admin/commander/dispatcher/supervisor/officer/analyst)</t>
  </si>
  <si>
    <t>AEGIS RBAC is solid and granular.</t>
  </si>
  <si>
    <t>Audit log</t>
  </si>
  <si>
    <t>Safety / audit log of operations</t>
  </si>
  <si>
    <t>Audit log of all write actions (user, time, detail)</t>
  </si>
  <si>
    <t>Comparable auditing.</t>
  </si>
  <si>
    <t>Disaster tolerance</t>
  </si>
  <si>
    <t>Master/slave + geo-redundancy; standby server failover</t>
  </si>
  <si>
    <t>Single Docker stack; no DR/standby documented</t>
  </si>
  <si>
    <t>No high-availability story in AEGIS.</t>
  </si>
  <si>
    <t>Licensing model</t>
  </si>
  <si>
    <t>Dongle + license; basic/premium tiers; ~2,000-device cap</t>
  </si>
  <si>
    <t>No software licensing/dongle</t>
  </si>
  <si>
    <t>—</t>
  </si>
  <si>
    <t>Different commercial model.</t>
  </si>
  <si>
    <t>Statistics &amp; reporting</t>
  </si>
  <si>
    <t>Model/app/online-trend stats; PDF + editable Excel reports</t>
  </si>
  <si>
    <t>Analytics dashboard + incident trends (no export reports)</t>
  </si>
  <si>
    <t>AEGIS analytics exist but narrower; no formal report export.</t>
  </si>
  <si>
    <t>Capabilities Unique to AEGIS</t>
  </si>
  <si>
    <t>Modules AEGIS provides that neither HyTalk MC nor Smart MDM offers (with real build state flagged)</t>
  </si>
  <si>
    <t>Module / capability</t>
  </si>
  <si>
    <t>What it does</t>
  </si>
  <si>
    <t>Caveat</t>
  </si>
  <si>
    <t>Incident management (CAD)</t>
  </si>
  <si>
    <t>Full lifecycle: create, 7-state status, dispatch, colour-coded live map</t>
  </si>
  <si>
    <t>Genuine differentiator — no CAD in either Hytera product.</t>
  </si>
  <si>
    <t>AI incident auto-classification</t>
  </si>
  <si>
    <t>Auto-tags incident type with confidence score</t>
  </si>
  <si>
    <t>Simulated</t>
  </si>
  <si>
    <t>Confidence = random number; no ML model.</t>
  </si>
  <si>
    <t>SOS module</t>
  </si>
  <si>
    <t>Officer SOS, dashboard alerts, auto-incident, Android floating overlay</t>
  </si>
  <si>
    <t>Strong; overlaps Hytera emergency alarm but more integrated.</t>
  </si>
  <si>
    <t>Body-worn camera (BWC)</t>
  </si>
  <si>
    <t>Start/stop, metadata, multipart upload, evidence flagging</t>
  </si>
  <si>
    <t>No in-dashboard player, no live stream, no real encryption.</t>
  </si>
  <si>
    <t>RapidScan ANPR</t>
  </si>
  <si>
    <t>Plate scan vs watchlist, scan history, checkpoint analytics</t>
  </si>
  <si>
    <t>Real exact-match logic — production-credible.</t>
  </si>
  <si>
    <t>RapidScan FRS (face)</t>
  </si>
  <si>
    <t>Face scan vs watchlist</t>
  </si>
  <si>
    <t>12% random hit — no real face-recognition engine.</t>
  </si>
  <si>
    <t>Weapon / crowd analytics</t>
  </si>
  <si>
    <t>YOLOv8 weapon detection, CSRNet crowd density (advertised)</t>
  </si>
  <si>
    <t>Marketing labels only — zero code.</t>
  </si>
  <si>
    <t>Checkpoints</t>
  </si>
  <si>
    <t>Create checkpoints, assign cameras, threat level, analytics</t>
  </si>
  <si>
    <t>Solid; supports ANPR/FRS posts.</t>
  </si>
  <si>
    <t>Dispatch recommendation</t>
  </si>
  <si>
    <t>Nearest-unit suggestion by GPS proximity</t>
  </si>
  <si>
    <t>Labelled 'AI' but logic is correct proximity sort.</t>
  </si>
  <si>
    <t>Analytics &amp; audit</t>
  </si>
  <si>
    <t>Dashboard stats, incident trends, full audit log</t>
  </si>
  <si>
    <t>Predictive intelligence / heatmaps are simulated/UI-only.</t>
  </si>
  <si>
    <t>Events &amp; operations</t>
  </si>
  <si>
    <t>Events, situation-report posts, routes, checkpoint linking</t>
  </si>
  <si>
    <t>Useful for planned operations management.</t>
  </si>
  <si>
    <t>Personnel management</t>
  </si>
  <si>
    <t>Shifts, check-in/attendance, attendance reports</t>
  </si>
  <si>
    <t>Personnel alerts have no real trigger conditions yet.</t>
  </si>
  <si>
    <t>Web client (PWA)</t>
  </si>
  <si>
    <t>Browser client with PTT, incidents, multilingual (Arabic RTL + English)</t>
  </si>
  <si>
    <t>Runs on any browser — no proprietary hardware.</t>
  </si>
  <si>
    <t>Open architecture</t>
  </si>
  <si>
    <t>Docker, Node.js, PostgreSQL, OpenStreetMap</t>
  </si>
  <si>
    <t>Lower licensing cost; not certified/hardened like Hytera.</t>
  </si>
  <si>
    <t>Hytera Capabilities Missing or Stubbed in AEGIS</t>
  </si>
  <si>
    <t>Consolidated gap list — what HyTalk MC / Smart MDM deliver that AEGIS lacks today</t>
  </si>
  <si>
    <t>Source product</t>
  </si>
  <si>
    <t>Capability</t>
  </si>
  <si>
    <t>Why it matters / AEGIS state</t>
  </si>
  <si>
    <t>AEGIS state</t>
  </si>
  <si>
    <t>HyTalk MC</t>
  </si>
  <si>
    <t>Full-duplex voice (private &amp; group)</t>
  </si>
  <si>
    <t>Telephony-style two-way calls; AEGIS is half-duplex PTT only</t>
  </si>
  <si>
    <t>Video calling (group, private, live upload)</t>
  </si>
  <si>
    <t>Field video to command; AEGIS has none</t>
  </si>
  <si>
    <t>Rich messaging (text/photo/audio/file/location)</t>
  </si>
  <si>
    <t>Core MCData; AEGIS has no messaging at all</t>
  </si>
  <si>
    <t>AES128/256 media encryption</t>
  </si>
  <si>
    <t>Encrypted voice &amp; video; AEGIS payloads are plaintext</t>
  </si>
  <si>
    <t>Monitoring / subscription listen</t>
  </si>
  <si>
    <t>Supervisory live monitoring; absent in AEGIS</t>
  </si>
  <si>
    <t>TETRA interconnection (voice + SDS)</t>
  </si>
  <si>
    <t>Bridge to legacy TETRA fleets; AEGIS has none</t>
  </si>
  <si>
    <t>Real codec + noise suppression</t>
  </si>
  <si>
    <t>Quality/bandwidth; AEGIS relays raw PCM</t>
  </si>
  <si>
    <t>Carrier-grade SIP/MCS stack</t>
  </si>
  <si>
    <t>Standards-based signalling; AEGIS Kamailio unused</t>
  </si>
  <si>
    <t>Call merging, concurrent calls, function alias</t>
  </si>
  <si>
    <t>Advanced call handling; absent in AEGIS</t>
  </si>
  <si>
    <t>Smart MDM</t>
  </si>
  <si>
    <t>Working MDM backend</t>
  </si>
  <si>
    <t>AEGIS MDM portal calls 404 — no server logic</t>
  </si>
  <si>
    <t>Radio programming &amp; firmware upgrade</t>
  </si>
  <si>
    <t>Template/batch over wireless + DTW; not in AEGIS scope</t>
  </si>
  <si>
    <t>Provision radio keys; not in AEGIS scope</t>
  </si>
  <si>
    <t>Multi-band radio mgmt (DMR/PDT/TETRA/BWC)</t>
  </si>
  <si>
    <t>LMR fleet control; AEGIS targets smartphones</t>
  </si>
  <si>
    <t>Kiosk mode &amp; time fence</t>
  </si>
  <si>
    <t>Lock-down &amp; scheduled policy; absent in AEGIS</t>
  </si>
  <si>
    <t>Strategy/IFTTT automation &amp; intrusion detection</t>
  </si>
  <si>
    <t>Automated response &amp; tamper alerts; absent</t>
  </si>
  <si>
    <t>Disaster tolerance &amp; standby server</t>
  </si>
  <si>
    <t>High availability / failover; AEGIS single-stack</t>
  </si>
  <si>
    <t>Dongle + tiered licensing</t>
  </si>
  <si>
    <t>Commercial protection model; not in AEGIS</t>
  </si>
  <si>
    <t>Both</t>
  </si>
  <si>
    <t>Real at-rest &amp; end-to-end encryption</t>
  </si>
  <si>
    <t>AEGIS stores data unencrypted; AES labels cosmetic</t>
  </si>
  <si>
    <t>Production maturity / certification</t>
  </si>
  <si>
    <t>Shipping, supported, field-proven products</t>
  </si>
  <si>
    <t>Verdict Scorecard</t>
  </si>
  <si>
    <t>Auto-tallied from the comparison tabs (formula-driven)</t>
  </si>
  <si>
    <t>Comms (AEGIS vs HyTalk MC) — verdict tally</t>
  </si>
  <si>
    <t>% of rows</t>
  </si>
  <si>
    <t>Total</t>
  </si>
  <si>
    <t>MDM (AEGIS vs Smart MDM) — verdict tally</t>
  </si>
  <si>
    <t>Bottom line</t>
  </si>
  <si>
    <t>Breadth: AEGIS wins — it covers comms + MDM + CAD/incidents + ANPR/FRS + BWC + dispatch in one platform. Depth &amp; maturity: each Hytera product wins clearly in its own domain. AEGIS's strongest, production-credible areas are incident management, live tracking, SOS, ANPR and its open multi-client estate. Its weakest areas are the MDM module (UI-only), media encryption, and any feature labelled 'AI' (mostly simulated).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</si>
</sst>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006100"/>
      <name val="Arial"/>
      <charset val="1"/>
    </font>
    <font>
      <sz val="9"/>
      <color rgb="FF000000"/>
      <name val="Arial"/>
      <charset val="1"/>
    </font>
    <font>
      <b/>
      <sz val="9"/>
      <color rgb="FF9C6500"/>
      <name val="Arial"/>
      <charset val="1"/>
    </font>
    <font>
      <b/>
      <sz val="9"/>
      <color rgb="FF1F4E79"/>
      <name val="Arial"/>
      <charset val="1"/>
    </font>
    <font>
      <b/>
      <sz val="9"/>
      <color rgb="FF9C0006"/>
      <name val="Arial"/>
      <charset val="1"/>
    </font>
    <font>
      <b/>
      <sz val="9"/>
      <color rgb="FF60497A"/>
      <name val="Arial"/>
      <charset val="1"/>
    </font>
    <font>
      <b/>
      <sz val="10"/>
      <name val="Arial"/>
      <charset val="1"/>
    </font>
    <font>
      <b/>
      <sz val="10"/>
      <color rgb="FF1F3864"/>
      <name val="Arial"/>
      <charset val="1"/>
    </font>
    <font>
      <b/>
      <sz val="9"/>
      <color rgb="FF404040"/>
      <name val="Arial"/>
      <charset val="1"/>
    </font>
    <font>
      <b/>
      <sz val="11"/>
      <color rgb="FF1F3864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496"/>
        <bgColor rgb="FF1F4E79"/>
      </patternFill>
    </fill>
    <fill>
      <patternFill patternType="solid">
        <fgColor rgb="FFDDEBF7"/>
        <bgColor rgb="FFE4DFEC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E4DFEC"/>
      </patternFill>
    </fill>
    <fill>
      <patternFill patternType="solid">
        <fgColor rgb="FFBDD7E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E4DFEC"/>
        <bgColor rgb="FFD9D9D9"/>
      </patternFill>
    </fill>
    <fill>
      <patternFill patternType="solid">
        <fgColor rgb="FFD9D9D9"/>
        <bgColor rgb="FFE4DF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0" fontId="14" fillId="0" borderId="0" xfId="0" applyFont="1"/>
    <xf numFmtId="0" fontId="7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0" borderId="0" xfId="0" applyFont="1"/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6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D9D9D9"/>
      <rgbColor rgb="FFDDEBF7"/>
      <rgbColor rgb="FF660066"/>
      <rgbColor rgb="FFFF8080"/>
      <rgbColor rgb="FF1F4E79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0497A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abSelected="1" zoomScaleNormal="100" workbookViewId="0">
      <selection activeCell="K9" sqref="K9"/>
    </sheetView>
  </sheetViews>
  <sheetFormatPr defaultColWidth="8.7109375" defaultRowHeight="15" x14ac:dyDescent="0.25"/>
  <cols>
    <col min="1" max="1" width="26" customWidth="1"/>
    <col min="2" max="4" width="34" customWidth="1"/>
  </cols>
  <sheetData>
    <row r="1" spans="1:4" ht="30" customHeight="1" x14ac:dyDescent="0.25">
      <c r="A1" s="33" t="s">
        <v>0</v>
      </c>
      <c r="B1" s="33"/>
      <c r="C1" s="33"/>
      <c r="D1" s="33"/>
    </row>
    <row r="2" spans="1:4" ht="18" customHeight="1" x14ac:dyDescent="0.25">
      <c r="A2" s="34" t="s">
        <v>1</v>
      </c>
      <c r="B2" s="34"/>
      <c r="C2" s="34"/>
      <c r="D2" s="34"/>
    </row>
    <row r="4" spans="1:4" ht="15.75" x14ac:dyDescent="0.25">
      <c r="A4" s="1" t="s">
        <v>2</v>
      </c>
    </row>
    <row r="5" spans="1:4" ht="19.5" customHeight="1" x14ac:dyDescent="0.25">
      <c r="A5" s="2" t="s">
        <v>3</v>
      </c>
      <c r="B5" s="2" t="s">
        <v>4</v>
      </c>
      <c r="C5" s="2" t="s">
        <v>5</v>
      </c>
      <c r="D5" s="2" t="s">
        <v>6</v>
      </c>
    </row>
    <row r="6" spans="1:4" ht="43.5" customHeight="1" x14ac:dyDescent="0.25">
      <c r="A6" s="3" t="s">
        <v>7</v>
      </c>
      <c r="B6" s="4" t="s">
        <v>8</v>
      </c>
      <c r="C6" s="4" t="s">
        <v>9</v>
      </c>
      <c r="D6" s="4" t="s">
        <v>10</v>
      </c>
    </row>
    <row r="7" spans="1:4" ht="43.5" customHeight="1" x14ac:dyDescent="0.25">
      <c r="A7" s="3" t="s">
        <v>11</v>
      </c>
      <c r="B7" s="4" t="s">
        <v>12</v>
      </c>
      <c r="C7" s="4" t="s">
        <v>13</v>
      </c>
      <c r="D7" s="4" t="s">
        <v>14</v>
      </c>
    </row>
    <row r="8" spans="1:4" ht="43.5" customHeight="1" x14ac:dyDescent="0.25">
      <c r="A8" s="3" t="s">
        <v>15</v>
      </c>
      <c r="B8" s="4" t="s">
        <v>16</v>
      </c>
      <c r="C8" s="4" t="s">
        <v>17</v>
      </c>
      <c r="D8" s="4" t="s">
        <v>18</v>
      </c>
    </row>
    <row r="9" spans="1:4" ht="43.5" customHeight="1" x14ac:dyDescent="0.25">
      <c r="A9" s="3" t="s">
        <v>19</v>
      </c>
      <c r="B9" s="4" t="s">
        <v>20</v>
      </c>
      <c r="C9" s="4" t="s">
        <v>21</v>
      </c>
      <c r="D9" s="4" t="s">
        <v>22</v>
      </c>
    </row>
    <row r="10" spans="1:4" ht="43.5" customHeight="1" x14ac:dyDescent="0.25">
      <c r="A10" s="3" t="s">
        <v>23</v>
      </c>
      <c r="B10" s="4" t="s">
        <v>24</v>
      </c>
      <c r="C10" s="4" t="s">
        <v>25</v>
      </c>
      <c r="D10" s="4" t="s">
        <v>26</v>
      </c>
    </row>
    <row r="11" spans="1:4" ht="43.5" customHeight="1" x14ac:dyDescent="0.25">
      <c r="A11" s="3" t="s">
        <v>27</v>
      </c>
      <c r="B11" s="4" t="s">
        <v>28</v>
      </c>
      <c r="C11" s="4" t="s">
        <v>29</v>
      </c>
      <c r="D11" s="4" t="s">
        <v>30</v>
      </c>
    </row>
    <row r="12" spans="1:4" ht="43.5" customHeight="1" x14ac:dyDescent="0.25">
      <c r="A12" s="3" t="s">
        <v>31</v>
      </c>
      <c r="B12" s="4" t="s">
        <v>32</v>
      </c>
      <c r="C12" s="4" t="s">
        <v>33</v>
      </c>
      <c r="D12" s="4" t="s">
        <v>33</v>
      </c>
    </row>
    <row r="14" spans="1:4" ht="15.75" x14ac:dyDescent="0.25">
      <c r="A14" s="1" t="s">
        <v>34</v>
      </c>
    </row>
    <row r="15" spans="1:4" ht="45.75" customHeight="1" x14ac:dyDescent="0.25">
      <c r="A15" s="31" t="s">
        <v>35</v>
      </c>
      <c r="B15" s="31"/>
      <c r="C15" s="31"/>
      <c r="D15" s="31"/>
    </row>
    <row r="16" spans="1:4" ht="45.75" customHeight="1" x14ac:dyDescent="0.25">
      <c r="A16" s="31" t="s">
        <v>36</v>
      </c>
      <c r="B16" s="31"/>
      <c r="C16" s="31"/>
      <c r="D16" s="31"/>
    </row>
    <row r="17" spans="1:4" ht="45.75" customHeight="1" x14ac:dyDescent="0.25">
      <c r="A17" s="31" t="s">
        <v>37</v>
      </c>
      <c r="B17" s="31"/>
      <c r="C17" s="31"/>
      <c r="D17" s="31"/>
    </row>
    <row r="18" spans="1:4" ht="45.75" customHeight="1" x14ac:dyDescent="0.25">
      <c r="A18" s="31" t="s">
        <v>38</v>
      </c>
      <c r="B18" s="31"/>
      <c r="C18" s="31"/>
      <c r="D18" s="31"/>
    </row>
    <row r="19" spans="1:4" ht="45.75" customHeight="1" x14ac:dyDescent="0.25">
      <c r="A19" s="31" t="s">
        <v>39</v>
      </c>
      <c r="B19" s="31"/>
      <c r="C19" s="31"/>
      <c r="D19" s="31"/>
    </row>
    <row r="21" spans="1:4" ht="15.75" x14ac:dyDescent="0.25">
      <c r="A21" s="1" t="s">
        <v>40</v>
      </c>
    </row>
    <row r="22" spans="1:4" ht="96" customHeight="1" x14ac:dyDescent="0.25">
      <c r="A22" s="32" t="s">
        <v>41</v>
      </c>
      <c r="B22" s="32"/>
      <c r="C22" s="32"/>
      <c r="D22" s="32"/>
    </row>
  </sheetData>
  <mergeCells count="8">
    <mergeCell ref="A18:D18"/>
    <mergeCell ref="A19:D19"/>
    <mergeCell ref="A22:D22"/>
    <mergeCell ref="A1:D1"/>
    <mergeCell ref="A2:D2"/>
    <mergeCell ref="A15:D15"/>
    <mergeCell ref="A16:D16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26" customWidth="1"/>
    <col min="2" max="2" width="12" customWidth="1"/>
    <col min="3" max="3" width="14" customWidth="1"/>
    <col min="4" max="4" width="40" customWidth="1"/>
  </cols>
  <sheetData>
    <row r="1" spans="1:4" ht="30" customHeight="1" x14ac:dyDescent="0.25">
      <c r="A1" s="33" t="s">
        <v>42</v>
      </c>
      <c r="B1" s="33"/>
      <c r="C1" s="33"/>
      <c r="D1" s="33"/>
    </row>
    <row r="2" spans="1:4" ht="18" customHeight="1" x14ac:dyDescent="0.25">
      <c r="A2" s="34" t="s">
        <v>43</v>
      </c>
      <c r="B2" s="34"/>
      <c r="C2" s="34"/>
      <c r="D2" s="34"/>
    </row>
    <row r="4" spans="1:4" x14ac:dyDescent="0.25">
      <c r="A4" s="2" t="s">
        <v>44</v>
      </c>
      <c r="B4" s="2" t="s">
        <v>45</v>
      </c>
      <c r="C4" s="2" t="s">
        <v>46</v>
      </c>
      <c r="D4" s="2" t="s">
        <v>47</v>
      </c>
    </row>
    <row r="5" spans="1:4" ht="21.75" customHeight="1" x14ac:dyDescent="0.25">
      <c r="A5" s="5" t="s">
        <v>48</v>
      </c>
      <c r="B5" s="6">
        <v>80</v>
      </c>
      <c r="C5" s="7">
        <f>B5/$B$10</f>
        <v>0.59259259259259256</v>
      </c>
      <c r="D5" s="8" t="s">
        <v>49</v>
      </c>
    </row>
    <row r="6" spans="1:4" ht="21.75" customHeight="1" x14ac:dyDescent="0.25">
      <c r="A6" s="9" t="s">
        <v>50</v>
      </c>
      <c r="B6" s="6">
        <v>10</v>
      </c>
      <c r="C6" s="7">
        <f>B6/$B$10</f>
        <v>7.407407407407407E-2</v>
      </c>
      <c r="D6" s="8" t="s">
        <v>51</v>
      </c>
    </row>
    <row r="7" spans="1:4" ht="21.75" customHeight="1" x14ac:dyDescent="0.25">
      <c r="A7" s="10" t="s">
        <v>52</v>
      </c>
      <c r="B7" s="6">
        <v>21</v>
      </c>
      <c r="C7" s="7">
        <f>B7/$B$10</f>
        <v>0.15555555555555556</v>
      </c>
      <c r="D7" s="8" t="s">
        <v>53</v>
      </c>
    </row>
    <row r="8" spans="1:4" ht="21.75" customHeight="1" x14ac:dyDescent="0.25">
      <c r="A8" s="11" t="s">
        <v>54</v>
      </c>
      <c r="B8" s="6">
        <v>21</v>
      </c>
      <c r="C8" s="7">
        <f>B8/$B$10</f>
        <v>0.15555555555555556</v>
      </c>
      <c r="D8" s="8" t="s">
        <v>55</v>
      </c>
    </row>
    <row r="9" spans="1:4" ht="21.75" customHeight="1" x14ac:dyDescent="0.25">
      <c r="A9" s="12" t="s">
        <v>56</v>
      </c>
      <c r="B9" s="6">
        <v>3</v>
      </c>
      <c r="C9" s="7">
        <f>B9/$B$10</f>
        <v>2.2222222222222223E-2</v>
      </c>
      <c r="D9" s="8" t="s">
        <v>57</v>
      </c>
    </row>
    <row r="10" spans="1:4" x14ac:dyDescent="0.25">
      <c r="A10" s="13" t="s">
        <v>58</v>
      </c>
      <c r="B10" s="14">
        <f>SUM(B5:B9)</f>
        <v>135</v>
      </c>
      <c r="C10" s="15">
        <f>B10/B10</f>
        <v>1</v>
      </c>
      <c r="D10" s="13"/>
    </row>
    <row r="12" spans="1:4" x14ac:dyDescent="0.25">
      <c r="A12" s="16" t="s">
        <v>59</v>
      </c>
    </row>
    <row r="13" spans="1:4" x14ac:dyDescent="0.25">
      <c r="A13" s="35" t="s">
        <v>60</v>
      </c>
      <c r="B13" s="35"/>
      <c r="C13" s="35"/>
      <c r="D13" s="35"/>
    </row>
    <row r="14" spans="1:4" x14ac:dyDescent="0.25">
      <c r="A14" s="35" t="s">
        <v>61</v>
      </c>
      <c r="B14" s="35"/>
      <c r="C14" s="35"/>
      <c r="D14" s="35"/>
    </row>
    <row r="15" spans="1:4" x14ac:dyDescent="0.25">
      <c r="A15" s="35" t="s">
        <v>62</v>
      </c>
      <c r="B15" s="35"/>
      <c r="C15" s="35"/>
      <c r="D15" s="35"/>
    </row>
    <row r="16" spans="1:4" x14ac:dyDescent="0.25">
      <c r="A16" s="35" t="s">
        <v>63</v>
      </c>
      <c r="B16" s="35"/>
      <c r="C16" s="35"/>
      <c r="D16" s="35"/>
    </row>
    <row r="17" spans="1:4" x14ac:dyDescent="0.25">
      <c r="A17" s="35" t="s">
        <v>64</v>
      </c>
      <c r="B17" s="35"/>
      <c r="C17" s="35"/>
      <c r="D17" s="35"/>
    </row>
    <row r="18" spans="1:4" x14ac:dyDescent="0.25">
      <c r="A18" s="35" t="s">
        <v>65</v>
      </c>
      <c r="B18" s="35"/>
      <c r="C18" s="35"/>
      <c r="D18" s="35"/>
    </row>
    <row r="19" spans="1:4" x14ac:dyDescent="0.25">
      <c r="A19" s="35" t="s">
        <v>66</v>
      </c>
      <c r="B19" s="35"/>
      <c r="C19" s="35"/>
      <c r="D19" s="35"/>
    </row>
  </sheetData>
  <mergeCells count="9">
    <mergeCell ref="A16:D16"/>
    <mergeCell ref="A17:D17"/>
    <mergeCell ref="A18:D18"/>
    <mergeCell ref="A19:D19"/>
    <mergeCell ref="A1:D1"/>
    <mergeCell ref="A2:D2"/>
    <mergeCell ref="A13:D13"/>
    <mergeCell ref="A14:D14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showGridLines="0" zoomScaleNormal="100" workbookViewId="0">
      <pane ySplit="4" topLeftCell="A5" activePane="bottomLeft" state="frozen"/>
      <selection pane="bottomLeft" sqref="A1:F1"/>
    </sheetView>
  </sheetViews>
  <sheetFormatPr defaultColWidth="8.7109375" defaultRowHeight="15" x14ac:dyDescent="0.25"/>
  <cols>
    <col min="1" max="1" width="24" customWidth="1"/>
    <col min="2" max="2" width="40" customWidth="1"/>
    <col min="3" max="3" width="36" customWidth="1"/>
    <col min="4" max="4" width="15" customWidth="1"/>
    <col min="5" max="5" width="13" customWidth="1"/>
    <col min="6" max="6" width="42" customWidth="1"/>
  </cols>
  <sheetData>
    <row r="1" spans="1:6" ht="30" customHeight="1" x14ac:dyDescent="0.25">
      <c r="A1" s="33" t="s">
        <v>67</v>
      </c>
      <c r="B1" s="33"/>
      <c r="C1" s="33"/>
      <c r="D1" s="33"/>
      <c r="E1" s="33"/>
      <c r="F1" s="33"/>
    </row>
    <row r="2" spans="1:6" ht="18" customHeight="1" x14ac:dyDescent="0.25">
      <c r="A2" s="34" t="s">
        <v>68</v>
      </c>
      <c r="B2" s="34"/>
      <c r="C2" s="34"/>
      <c r="D2" s="34"/>
      <c r="E2" s="34"/>
      <c r="F2" s="34"/>
    </row>
    <row r="4" spans="1:6" ht="24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</row>
    <row r="5" spans="1:6" ht="42" customHeight="1" x14ac:dyDescent="0.25">
      <c r="A5" s="3" t="s">
        <v>75</v>
      </c>
      <c r="B5" s="4" t="s">
        <v>76</v>
      </c>
      <c r="C5" s="4" t="s">
        <v>77</v>
      </c>
      <c r="D5" s="17" t="s">
        <v>48</v>
      </c>
      <c r="E5" s="17" t="s">
        <v>78</v>
      </c>
      <c r="F5" s="4" t="s">
        <v>79</v>
      </c>
    </row>
    <row r="6" spans="1:6" ht="42" customHeight="1" x14ac:dyDescent="0.25">
      <c r="A6" s="3" t="s">
        <v>80</v>
      </c>
      <c r="B6" s="4" t="s">
        <v>81</v>
      </c>
      <c r="C6" s="4" t="s">
        <v>82</v>
      </c>
      <c r="D6" s="17" t="s">
        <v>48</v>
      </c>
      <c r="E6" s="18" t="s">
        <v>83</v>
      </c>
      <c r="F6" s="4" t="s">
        <v>84</v>
      </c>
    </row>
    <row r="7" spans="1:6" ht="42" customHeight="1" x14ac:dyDescent="0.25">
      <c r="A7" s="3" t="s">
        <v>85</v>
      </c>
      <c r="B7" s="4" t="s">
        <v>86</v>
      </c>
      <c r="C7" s="4" t="s">
        <v>87</v>
      </c>
      <c r="D7" s="19" t="s">
        <v>88</v>
      </c>
      <c r="E7" s="20" t="s">
        <v>89</v>
      </c>
      <c r="F7" s="4" t="s">
        <v>90</v>
      </c>
    </row>
    <row r="8" spans="1:6" ht="42" customHeight="1" x14ac:dyDescent="0.25">
      <c r="A8" s="3" t="s">
        <v>91</v>
      </c>
      <c r="B8" s="4" t="s">
        <v>92</v>
      </c>
      <c r="C8" s="4" t="s">
        <v>93</v>
      </c>
      <c r="D8" s="20" t="s">
        <v>94</v>
      </c>
      <c r="E8" s="20" t="s">
        <v>95</v>
      </c>
      <c r="F8" s="4" t="s">
        <v>96</v>
      </c>
    </row>
    <row r="9" spans="1:6" ht="42" customHeight="1" x14ac:dyDescent="0.25">
      <c r="A9" s="3" t="s">
        <v>97</v>
      </c>
      <c r="B9" s="4" t="s">
        <v>98</v>
      </c>
      <c r="C9" s="4" t="s">
        <v>99</v>
      </c>
      <c r="D9" s="18" t="s">
        <v>83</v>
      </c>
      <c r="E9" s="20" t="s">
        <v>89</v>
      </c>
      <c r="F9" s="4" t="s">
        <v>100</v>
      </c>
    </row>
    <row r="10" spans="1:6" ht="42" customHeight="1" x14ac:dyDescent="0.25">
      <c r="A10" s="3" t="s">
        <v>101</v>
      </c>
      <c r="B10" s="4" t="s">
        <v>102</v>
      </c>
      <c r="C10" s="4" t="s">
        <v>103</v>
      </c>
      <c r="D10" s="17" t="s">
        <v>48</v>
      </c>
      <c r="E10" s="17" t="s">
        <v>78</v>
      </c>
      <c r="F10" s="4" t="s">
        <v>104</v>
      </c>
    </row>
    <row r="11" spans="1:6" ht="42" customHeight="1" x14ac:dyDescent="0.25">
      <c r="A11" s="3" t="s">
        <v>105</v>
      </c>
      <c r="B11" s="4" t="s">
        <v>106</v>
      </c>
      <c r="C11" s="4" t="s">
        <v>107</v>
      </c>
      <c r="D11" s="18" t="s">
        <v>83</v>
      </c>
      <c r="E11" s="20" t="s">
        <v>89</v>
      </c>
      <c r="F11" s="4" t="s">
        <v>108</v>
      </c>
    </row>
    <row r="12" spans="1:6" ht="42" customHeight="1" x14ac:dyDescent="0.25">
      <c r="A12" s="3" t="s">
        <v>109</v>
      </c>
      <c r="B12" s="4" t="s">
        <v>110</v>
      </c>
      <c r="C12" s="4" t="s">
        <v>111</v>
      </c>
      <c r="D12" s="17" t="s">
        <v>48</v>
      </c>
      <c r="E12" s="17" t="s">
        <v>78</v>
      </c>
      <c r="F12" s="4" t="s">
        <v>112</v>
      </c>
    </row>
    <row r="13" spans="1:6" ht="42" customHeight="1" x14ac:dyDescent="0.25">
      <c r="A13" s="3" t="s">
        <v>113</v>
      </c>
      <c r="B13" s="4" t="s">
        <v>114</v>
      </c>
      <c r="C13" s="4" t="s">
        <v>115</v>
      </c>
      <c r="D13" s="20" t="s">
        <v>94</v>
      </c>
      <c r="E13" s="20" t="s">
        <v>95</v>
      </c>
      <c r="F13" s="4" t="s">
        <v>116</v>
      </c>
    </row>
    <row r="14" spans="1:6" ht="42" customHeight="1" x14ac:dyDescent="0.25">
      <c r="A14" s="3" t="s">
        <v>117</v>
      </c>
      <c r="B14" s="4" t="s">
        <v>118</v>
      </c>
      <c r="C14" s="4" t="s">
        <v>119</v>
      </c>
      <c r="D14" s="20" t="s">
        <v>94</v>
      </c>
      <c r="E14" s="20" t="s">
        <v>89</v>
      </c>
      <c r="F14" s="4" t="s">
        <v>120</v>
      </c>
    </row>
    <row r="15" spans="1:6" ht="42" customHeight="1" x14ac:dyDescent="0.25">
      <c r="A15" s="3" t="s">
        <v>121</v>
      </c>
      <c r="B15" s="4" t="s">
        <v>122</v>
      </c>
      <c r="C15" s="4" t="s">
        <v>123</v>
      </c>
      <c r="D15" s="20" t="s">
        <v>94</v>
      </c>
      <c r="E15" s="20" t="s">
        <v>89</v>
      </c>
      <c r="F15" s="4" t="s">
        <v>124</v>
      </c>
    </row>
    <row r="16" spans="1:6" ht="42" customHeight="1" x14ac:dyDescent="0.25">
      <c r="A16" s="3" t="s">
        <v>125</v>
      </c>
      <c r="B16" s="4" t="s">
        <v>126</v>
      </c>
      <c r="C16" s="4" t="s">
        <v>127</v>
      </c>
      <c r="D16" s="20" t="s">
        <v>94</v>
      </c>
      <c r="E16" s="20" t="s">
        <v>95</v>
      </c>
      <c r="F16" s="4" t="s">
        <v>128</v>
      </c>
    </row>
    <row r="17" spans="1:6" ht="42" customHeight="1" x14ac:dyDescent="0.25">
      <c r="A17" s="3" t="s">
        <v>129</v>
      </c>
      <c r="B17" s="4" t="s">
        <v>130</v>
      </c>
      <c r="C17" s="4" t="s">
        <v>93</v>
      </c>
      <c r="D17" s="20" t="s">
        <v>94</v>
      </c>
      <c r="E17" s="20" t="s">
        <v>95</v>
      </c>
      <c r="F17" s="4" t="s">
        <v>131</v>
      </c>
    </row>
    <row r="18" spans="1:6" ht="42" customHeight="1" x14ac:dyDescent="0.25">
      <c r="A18" s="3" t="s">
        <v>132</v>
      </c>
      <c r="B18" s="4" t="s">
        <v>133</v>
      </c>
      <c r="C18" s="4" t="s">
        <v>134</v>
      </c>
      <c r="D18" s="20" t="s">
        <v>94</v>
      </c>
      <c r="E18" s="20" t="s">
        <v>89</v>
      </c>
      <c r="F18" s="4" t="s">
        <v>135</v>
      </c>
    </row>
    <row r="19" spans="1:6" ht="42" customHeight="1" x14ac:dyDescent="0.25">
      <c r="A19" s="3" t="s">
        <v>136</v>
      </c>
      <c r="B19" s="4" t="s">
        <v>137</v>
      </c>
      <c r="C19" s="4" t="s">
        <v>93</v>
      </c>
      <c r="D19" s="20" t="s">
        <v>94</v>
      </c>
      <c r="E19" s="20" t="s">
        <v>95</v>
      </c>
      <c r="F19" s="4" t="s">
        <v>138</v>
      </c>
    </row>
    <row r="20" spans="1:6" ht="42" customHeight="1" x14ac:dyDescent="0.25">
      <c r="A20" s="3" t="s">
        <v>139</v>
      </c>
      <c r="B20" s="4" t="s">
        <v>140</v>
      </c>
      <c r="C20" s="4" t="s">
        <v>141</v>
      </c>
      <c r="D20" s="20" t="s">
        <v>94</v>
      </c>
      <c r="E20" s="20" t="s">
        <v>95</v>
      </c>
      <c r="F20" s="4" t="s">
        <v>142</v>
      </c>
    </row>
    <row r="21" spans="1:6" ht="42" customHeight="1" x14ac:dyDescent="0.25">
      <c r="A21" s="3" t="s">
        <v>143</v>
      </c>
      <c r="B21" s="4" t="s">
        <v>144</v>
      </c>
      <c r="C21" s="4" t="s">
        <v>93</v>
      </c>
      <c r="D21" s="20" t="s">
        <v>94</v>
      </c>
      <c r="E21" s="20" t="s">
        <v>95</v>
      </c>
      <c r="F21" s="4" t="s">
        <v>131</v>
      </c>
    </row>
    <row r="22" spans="1:6" ht="42" customHeight="1" x14ac:dyDescent="0.25">
      <c r="A22" s="3" t="s">
        <v>145</v>
      </c>
      <c r="B22" s="4" t="s">
        <v>146</v>
      </c>
      <c r="C22" s="4" t="s">
        <v>147</v>
      </c>
      <c r="D22" s="17" t="s">
        <v>48</v>
      </c>
      <c r="E22" s="17" t="s">
        <v>78</v>
      </c>
      <c r="F22" s="4" t="s">
        <v>148</v>
      </c>
    </row>
    <row r="23" spans="1:6" ht="42" customHeight="1" x14ac:dyDescent="0.25">
      <c r="A23" s="3" t="s">
        <v>149</v>
      </c>
      <c r="B23" s="4" t="s">
        <v>150</v>
      </c>
      <c r="C23" s="4" t="s">
        <v>151</v>
      </c>
      <c r="D23" s="17" t="s">
        <v>48</v>
      </c>
      <c r="E23" s="17" t="s">
        <v>152</v>
      </c>
      <c r="F23" s="4" t="s">
        <v>153</v>
      </c>
    </row>
    <row r="24" spans="1:6" ht="42" customHeight="1" x14ac:dyDescent="0.25">
      <c r="A24" s="3" t="s">
        <v>154</v>
      </c>
      <c r="B24" s="4" t="s">
        <v>155</v>
      </c>
      <c r="C24" s="4" t="s">
        <v>156</v>
      </c>
      <c r="D24" s="18" t="s">
        <v>83</v>
      </c>
      <c r="E24" s="20" t="s">
        <v>89</v>
      </c>
      <c r="F24" s="4" t="s">
        <v>157</v>
      </c>
    </row>
    <row r="25" spans="1:6" ht="42" customHeight="1" x14ac:dyDescent="0.25">
      <c r="A25" s="3" t="s">
        <v>158</v>
      </c>
      <c r="B25" s="4" t="s">
        <v>159</v>
      </c>
      <c r="C25" s="4" t="s">
        <v>93</v>
      </c>
      <c r="D25" s="20" t="s">
        <v>94</v>
      </c>
      <c r="E25" s="20" t="s">
        <v>95</v>
      </c>
      <c r="F25" s="4" t="s">
        <v>160</v>
      </c>
    </row>
    <row r="26" spans="1:6" ht="42" customHeight="1" x14ac:dyDescent="0.25">
      <c r="A26" s="3" t="s">
        <v>161</v>
      </c>
      <c r="B26" s="4" t="s">
        <v>162</v>
      </c>
      <c r="C26" s="4" t="s">
        <v>163</v>
      </c>
      <c r="D26" s="20" t="s">
        <v>94</v>
      </c>
      <c r="E26" s="20" t="s">
        <v>89</v>
      </c>
      <c r="F26" s="4" t="s">
        <v>164</v>
      </c>
    </row>
    <row r="27" spans="1:6" ht="42" customHeight="1" x14ac:dyDescent="0.25">
      <c r="A27" s="3" t="s">
        <v>165</v>
      </c>
      <c r="B27" s="4" t="s">
        <v>166</v>
      </c>
      <c r="C27" s="4" t="s">
        <v>167</v>
      </c>
      <c r="D27" s="17" t="s">
        <v>48</v>
      </c>
      <c r="E27" s="17" t="s">
        <v>78</v>
      </c>
      <c r="F27" s="4" t="s">
        <v>168</v>
      </c>
    </row>
    <row r="28" spans="1:6" ht="42" customHeight="1" x14ac:dyDescent="0.25">
      <c r="A28" s="3" t="s">
        <v>169</v>
      </c>
      <c r="B28" s="4" t="s">
        <v>170</v>
      </c>
      <c r="C28" s="4" t="s">
        <v>171</v>
      </c>
      <c r="D28" s="17" t="s">
        <v>48</v>
      </c>
      <c r="E28" s="17" t="s">
        <v>152</v>
      </c>
      <c r="F28" s="4" t="s">
        <v>172</v>
      </c>
    </row>
  </sheetData>
  <autoFilter ref="A4:F28" xr:uid="{00000000-0009-0000-0000-000002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showGridLines="0" zoomScaleNormal="100" workbookViewId="0">
      <pane ySplit="4" topLeftCell="A5" activePane="bottomLeft" state="frozen"/>
      <selection pane="bottomLeft" sqref="A1:F1"/>
    </sheetView>
  </sheetViews>
  <sheetFormatPr defaultColWidth="8.7109375" defaultRowHeight="15" x14ac:dyDescent="0.25"/>
  <cols>
    <col min="1" max="1" width="24" customWidth="1"/>
    <col min="2" max="2" width="40" customWidth="1"/>
    <col min="3" max="3" width="36" customWidth="1"/>
    <col min="4" max="4" width="15" customWidth="1"/>
    <col min="5" max="5" width="13" customWidth="1"/>
    <col min="6" max="6" width="42" customWidth="1"/>
  </cols>
  <sheetData>
    <row r="1" spans="1:6" ht="30" customHeight="1" x14ac:dyDescent="0.25">
      <c r="A1" s="33" t="s">
        <v>173</v>
      </c>
      <c r="B1" s="33"/>
      <c r="C1" s="33"/>
      <c r="D1" s="33"/>
      <c r="E1" s="33"/>
      <c r="F1" s="33"/>
    </row>
    <row r="2" spans="1:6" ht="18" customHeight="1" x14ac:dyDescent="0.25">
      <c r="A2" s="34" t="s">
        <v>174</v>
      </c>
      <c r="B2" s="34"/>
      <c r="C2" s="34"/>
      <c r="D2" s="34"/>
      <c r="E2" s="34"/>
      <c r="F2" s="34"/>
    </row>
    <row r="4" spans="1:6" ht="24" customHeight="1" x14ac:dyDescent="0.25">
      <c r="A4" s="2" t="s">
        <v>69</v>
      </c>
      <c r="B4" s="2" t="s">
        <v>175</v>
      </c>
      <c r="C4" s="2" t="s">
        <v>71</v>
      </c>
      <c r="D4" s="2" t="s">
        <v>72</v>
      </c>
      <c r="E4" s="2" t="s">
        <v>73</v>
      </c>
      <c r="F4" s="2" t="s">
        <v>74</v>
      </c>
    </row>
    <row r="5" spans="1:6" ht="42" customHeight="1" x14ac:dyDescent="0.25">
      <c r="A5" s="3" t="s">
        <v>176</v>
      </c>
      <c r="B5" s="4" t="s">
        <v>177</v>
      </c>
      <c r="C5" s="4" t="s">
        <v>178</v>
      </c>
      <c r="D5" s="19" t="s">
        <v>88</v>
      </c>
      <c r="E5" s="20" t="s">
        <v>89</v>
      </c>
      <c r="F5" s="4" t="s">
        <v>179</v>
      </c>
    </row>
    <row r="6" spans="1:6" ht="42" customHeight="1" x14ac:dyDescent="0.25">
      <c r="A6" s="3" t="s">
        <v>180</v>
      </c>
      <c r="B6" s="4" t="s">
        <v>181</v>
      </c>
      <c r="C6" s="4" t="s">
        <v>182</v>
      </c>
      <c r="D6" s="19" t="s">
        <v>88</v>
      </c>
      <c r="E6" s="20" t="s">
        <v>89</v>
      </c>
      <c r="F6" s="4" t="s">
        <v>183</v>
      </c>
    </row>
    <row r="7" spans="1:6" ht="42" customHeight="1" x14ac:dyDescent="0.25">
      <c r="A7" s="3" t="s">
        <v>184</v>
      </c>
      <c r="B7" s="4" t="s">
        <v>185</v>
      </c>
      <c r="C7" s="4" t="s">
        <v>186</v>
      </c>
      <c r="D7" s="19" t="s">
        <v>88</v>
      </c>
      <c r="E7" s="20" t="s">
        <v>89</v>
      </c>
      <c r="F7" s="4" t="s">
        <v>187</v>
      </c>
    </row>
    <row r="8" spans="1:6" ht="42" customHeight="1" x14ac:dyDescent="0.25">
      <c r="A8" s="3" t="s">
        <v>188</v>
      </c>
      <c r="B8" s="4" t="s">
        <v>189</v>
      </c>
      <c r="C8" s="4" t="s">
        <v>190</v>
      </c>
      <c r="D8" s="20" t="s">
        <v>94</v>
      </c>
      <c r="E8" s="20" t="s">
        <v>89</v>
      </c>
      <c r="F8" s="4" t="s">
        <v>191</v>
      </c>
    </row>
    <row r="9" spans="1:6" ht="42" customHeight="1" x14ac:dyDescent="0.25">
      <c r="A9" s="3" t="s">
        <v>192</v>
      </c>
      <c r="B9" s="4" t="s">
        <v>193</v>
      </c>
      <c r="C9" s="4" t="s">
        <v>194</v>
      </c>
      <c r="D9" s="19" t="s">
        <v>88</v>
      </c>
      <c r="E9" s="20" t="s">
        <v>89</v>
      </c>
      <c r="F9" s="4" t="s">
        <v>195</v>
      </c>
    </row>
    <row r="10" spans="1:6" ht="42" customHeight="1" x14ac:dyDescent="0.25">
      <c r="A10" s="3" t="s">
        <v>196</v>
      </c>
      <c r="B10" s="4" t="s">
        <v>197</v>
      </c>
      <c r="C10" s="4" t="s">
        <v>194</v>
      </c>
      <c r="D10" s="19" t="s">
        <v>88</v>
      </c>
      <c r="E10" s="20" t="s">
        <v>89</v>
      </c>
      <c r="F10" s="4" t="s">
        <v>195</v>
      </c>
    </row>
    <row r="11" spans="1:6" ht="42" customHeight="1" x14ac:dyDescent="0.25">
      <c r="A11" s="3" t="s">
        <v>198</v>
      </c>
      <c r="B11" s="4" t="s">
        <v>199</v>
      </c>
      <c r="C11" s="4" t="s">
        <v>200</v>
      </c>
      <c r="D11" s="19" t="s">
        <v>88</v>
      </c>
      <c r="E11" s="20" t="s">
        <v>89</v>
      </c>
      <c r="F11" s="4" t="s">
        <v>201</v>
      </c>
    </row>
    <row r="12" spans="1:6" ht="42" customHeight="1" x14ac:dyDescent="0.25">
      <c r="A12" s="3" t="s">
        <v>202</v>
      </c>
      <c r="B12" s="4" t="s">
        <v>203</v>
      </c>
      <c r="C12" s="4" t="s">
        <v>93</v>
      </c>
      <c r="D12" s="20" t="s">
        <v>94</v>
      </c>
      <c r="E12" s="20" t="s">
        <v>95</v>
      </c>
      <c r="F12" s="4" t="s">
        <v>204</v>
      </c>
    </row>
    <row r="13" spans="1:6" ht="42" customHeight="1" x14ac:dyDescent="0.25">
      <c r="A13" s="3" t="s">
        <v>205</v>
      </c>
      <c r="B13" s="4" t="s">
        <v>206</v>
      </c>
      <c r="C13" s="4" t="s">
        <v>207</v>
      </c>
      <c r="D13" s="19" t="s">
        <v>88</v>
      </c>
      <c r="E13" s="20" t="s">
        <v>89</v>
      </c>
      <c r="F13" s="4" t="s">
        <v>208</v>
      </c>
    </row>
    <row r="14" spans="1:6" ht="42" customHeight="1" x14ac:dyDescent="0.25">
      <c r="A14" s="3" t="s">
        <v>209</v>
      </c>
      <c r="B14" s="4" t="s">
        <v>210</v>
      </c>
      <c r="C14" s="4" t="s">
        <v>211</v>
      </c>
      <c r="D14" s="19" t="s">
        <v>88</v>
      </c>
      <c r="E14" s="20" t="s">
        <v>89</v>
      </c>
      <c r="F14" s="4" t="s">
        <v>212</v>
      </c>
    </row>
    <row r="15" spans="1:6" ht="42" customHeight="1" x14ac:dyDescent="0.25">
      <c r="A15" s="3" t="s">
        <v>213</v>
      </c>
      <c r="B15" s="4" t="s">
        <v>214</v>
      </c>
      <c r="C15" s="4" t="s">
        <v>215</v>
      </c>
      <c r="D15" s="20" t="s">
        <v>94</v>
      </c>
      <c r="E15" s="20" t="s">
        <v>89</v>
      </c>
      <c r="F15" s="4" t="s">
        <v>216</v>
      </c>
    </row>
    <row r="16" spans="1:6" ht="42" customHeight="1" x14ac:dyDescent="0.25">
      <c r="A16" s="3" t="s">
        <v>217</v>
      </c>
      <c r="B16" s="4" t="s">
        <v>218</v>
      </c>
      <c r="C16" s="4" t="s">
        <v>219</v>
      </c>
      <c r="D16" s="20" t="s">
        <v>94</v>
      </c>
      <c r="E16" s="20" t="s">
        <v>89</v>
      </c>
      <c r="F16" s="4" t="s">
        <v>220</v>
      </c>
    </row>
    <row r="17" spans="1:6" ht="42" customHeight="1" x14ac:dyDescent="0.25">
      <c r="A17" s="3" t="s">
        <v>221</v>
      </c>
      <c r="B17" s="4" t="s">
        <v>222</v>
      </c>
      <c r="C17" s="4" t="s">
        <v>223</v>
      </c>
      <c r="D17" s="19" t="s">
        <v>88</v>
      </c>
      <c r="E17" s="20" t="s">
        <v>89</v>
      </c>
      <c r="F17" s="4" t="s">
        <v>224</v>
      </c>
    </row>
    <row r="18" spans="1:6" ht="42" customHeight="1" x14ac:dyDescent="0.25">
      <c r="A18" s="3" t="s">
        <v>225</v>
      </c>
      <c r="B18" s="4" t="s">
        <v>226</v>
      </c>
      <c r="C18" s="4" t="s">
        <v>93</v>
      </c>
      <c r="D18" s="20" t="s">
        <v>94</v>
      </c>
      <c r="E18" s="21" t="s">
        <v>227</v>
      </c>
      <c r="F18" s="4" t="s">
        <v>228</v>
      </c>
    </row>
    <row r="19" spans="1:6" ht="42" customHeight="1" x14ac:dyDescent="0.25">
      <c r="A19" s="3" t="s">
        <v>229</v>
      </c>
      <c r="B19" s="4" t="s">
        <v>230</v>
      </c>
      <c r="C19" s="4" t="s">
        <v>93</v>
      </c>
      <c r="D19" s="20" t="s">
        <v>94</v>
      </c>
      <c r="E19" s="21" t="s">
        <v>227</v>
      </c>
      <c r="F19" s="4" t="s">
        <v>231</v>
      </c>
    </row>
    <row r="20" spans="1:6" ht="42" customHeight="1" x14ac:dyDescent="0.25">
      <c r="A20" s="3" t="s">
        <v>232</v>
      </c>
      <c r="B20" s="4" t="s">
        <v>233</v>
      </c>
      <c r="C20" s="4" t="s">
        <v>93</v>
      </c>
      <c r="D20" s="20" t="s">
        <v>94</v>
      </c>
      <c r="E20" s="21" t="s">
        <v>227</v>
      </c>
      <c r="F20" s="4" t="s">
        <v>234</v>
      </c>
    </row>
    <row r="21" spans="1:6" ht="42" customHeight="1" x14ac:dyDescent="0.25">
      <c r="A21" s="3" t="s">
        <v>235</v>
      </c>
      <c r="B21" s="4" t="s">
        <v>236</v>
      </c>
      <c r="C21" s="4" t="s">
        <v>93</v>
      </c>
      <c r="D21" s="20" t="s">
        <v>94</v>
      </c>
      <c r="E21" s="20" t="s">
        <v>95</v>
      </c>
      <c r="F21" s="4" t="s">
        <v>237</v>
      </c>
    </row>
    <row r="22" spans="1:6" ht="42" customHeight="1" x14ac:dyDescent="0.25">
      <c r="A22" s="3" t="s">
        <v>238</v>
      </c>
      <c r="B22" s="4" t="s">
        <v>239</v>
      </c>
      <c r="C22" s="4" t="s">
        <v>240</v>
      </c>
      <c r="D22" s="18" t="s">
        <v>83</v>
      </c>
      <c r="E22" s="18" t="s">
        <v>83</v>
      </c>
      <c r="F22" s="4" t="s">
        <v>241</v>
      </c>
    </row>
    <row r="23" spans="1:6" ht="42" customHeight="1" x14ac:dyDescent="0.25">
      <c r="A23" s="3" t="s">
        <v>242</v>
      </c>
      <c r="B23" s="4" t="s">
        <v>243</v>
      </c>
      <c r="C23" s="4" t="s">
        <v>244</v>
      </c>
      <c r="D23" s="17" t="s">
        <v>48</v>
      </c>
      <c r="E23" s="18" t="s">
        <v>83</v>
      </c>
      <c r="F23" s="4" t="s">
        <v>245</v>
      </c>
    </row>
    <row r="24" spans="1:6" ht="42" customHeight="1" x14ac:dyDescent="0.25">
      <c r="A24" s="3" t="s">
        <v>246</v>
      </c>
      <c r="B24" s="4" t="s">
        <v>247</v>
      </c>
      <c r="C24" s="4" t="s">
        <v>248</v>
      </c>
      <c r="D24" s="18" t="s">
        <v>83</v>
      </c>
      <c r="E24" s="20" t="s">
        <v>89</v>
      </c>
      <c r="F24" s="4" t="s">
        <v>249</v>
      </c>
    </row>
    <row r="25" spans="1:6" ht="42" customHeight="1" x14ac:dyDescent="0.25">
      <c r="A25" s="3" t="s">
        <v>250</v>
      </c>
      <c r="B25" s="4" t="s">
        <v>251</v>
      </c>
      <c r="C25" s="4" t="s">
        <v>252</v>
      </c>
      <c r="D25" s="20" t="s">
        <v>94</v>
      </c>
      <c r="E25" s="20" t="s">
        <v>89</v>
      </c>
      <c r="F25" s="4" t="s">
        <v>253</v>
      </c>
    </row>
    <row r="26" spans="1:6" ht="42" customHeight="1" x14ac:dyDescent="0.25">
      <c r="A26" s="3" t="s">
        <v>254</v>
      </c>
      <c r="B26" s="4" t="s">
        <v>255</v>
      </c>
      <c r="C26" s="4" t="s">
        <v>256</v>
      </c>
      <c r="D26" s="17" t="s">
        <v>48</v>
      </c>
      <c r="E26" s="17" t="s">
        <v>78</v>
      </c>
      <c r="F26" s="4" t="s">
        <v>257</v>
      </c>
    </row>
    <row r="27" spans="1:6" ht="42" customHeight="1" x14ac:dyDescent="0.25">
      <c r="A27" s="3" t="s">
        <v>258</v>
      </c>
      <c r="B27" s="4" t="s">
        <v>259</v>
      </c>
      <c r="C27" s="4" t="s">
        <v>260</v>
      </c>
      <c r="D27" s="17" t="s">
        <v>48</v>
      </c>
      <c r="E27" s="17" t="s">
        <v>78</v>
      </c>
      <c r="F27" s="4" t="s">
        <v>261</v>
      </c>
    </row>
    <row r="28" spans="1:6" ht="42" customHeight="1" x14ac:dyDescent="0.25">
      <c r="A28" s="3" t="s">
        <v>262</v>
      </c>
      <c r="B28" s="4" t="s">
        <v>263</v>
      </c>
      <c r="C28" s="4" t="s">
        <v>264</v>
      </c>
      <c r="D28" s="20" t="s">
        <v>94</v>
      </c>
      <c r="E28" s="20" t="s">
        <v>89</v>
      </c>
      <c r="F28" s="4" t="s">
        <v>265</v>
      </c>
    </row>
    <row r="29" spans="1:6" ht="42" customHeight="1" x14ac:dyDescent="0.25">
      <c r="A29" s="3" t="s">
        <v>266</v>
      </c>
      <c r="B29" s="4" t="s">
        <v>267</v>
      </c>
      <c r="C29" s="4" t="s">
        <v>268</v>
      </c>
      <c r="D29" s="21" t="s">
        <v>269</v>
      </c>
      <c r="E29" s="21" t="s">
        <v>227</v>
      </c>
      <c r="F29" s="4" t="s">
        <v>270</v>
      </c>
    </row>
    <row r="30" spans="1:6" ht="42" customHeight="1" x14ac:dyDescent="0.25">
      <c r="A30" s="3" t="s">
        <v>271</v>
      </c>
      <c r="B30" s="4" t="s">
        <v>272</v>
      </c>
      <c r="C30" s="4" t="s">
        <v>273</v>
      </c>
      <c r="D30" s="17" t="s">
        <v>48</v>
      </c>
      <c r="E30" s="18" t="s">
        <v>83</v>
      </c>
      <c r="F30" s="4" t="s">
        <v>274</v>
      </c>
    </row>
  </sheetData>
  <autoFilter ref="A4:F30" xr:uid="{00000000-0009-0000-0000-000003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showGridLines="0" zoomScaleNormal="100" workbookViewId="0">
      <pane ySplit="4" topLeftCell="A5" activePane="bottomLeft" state="frozen"/>
      <selection pane="bottomLeft" sqref="A1:D1"/>
    </sheetView>
  </sheetViews>
  <sheetFormatPr defaultColWidth="8.7109375" defaultRowHeight="15" x14ac:dyDescent="0.25"/>
  <cols>
    <col min="1" max="1" width="30" customWidth="1"/>
    <col min="2" max="2" width="50" customWidth="1"/>
    <col min="3" max="3" width="16" customWidth="1"/>
    <col min="4" max="4" width="42" customWidth="1"/>
  </cols>
  <sheetData>
    <row r="1" spans="1:4" ht="30" customHeight="1" x14ac:dyDescent="0.25">
      <c r="A1" s="33" t="s">
        <v>275</v>
      </c>
      <c r="B1" s="33"/>
      <c r="C1" s="33"/>
      <c r="D1" s="33"/>
    </row>
    <row r="2" spans="1:4" ht="18" customHeight="1" x14ac:dyDescent="0.25">
      <c r="A2" s="34" t="s">
        <v>276</v>
      </c>
      <c r="B2" s="34"/>
      <c r="C2" s="34"/>
      <c r="D2" s="34"/>
    </row>
    <row r="4" spans="1:4" ht="21.75" customHeight="1" x14ac:dyDescent="0.25">
      <c r="A4" s="2" t="s">
        <v>277</v>
      </c>
      <c r="B4" s="2" t="s">
        <v>278</v>
      </c>
      <c r="C4" s="2" t="s">
        <v>72</v>
      </c>
      <c r="D4" s="2" t="s">
        <v>279</v>
      </c>
    </row>
    <row r="5" spans="1:4" ht="39.75" customHeight="1" x14ac:dyDescent="0.25">
      <c r="A5" s="3" t="s">
        <v>280</v>
      </c>
      <c r="B5" s="4" t="s">
        <v>281</v>
      </c>
      <c r="C5" s="17" t="s">
        <v>48</v>
      </c>
      <c r="D5" s="4" t="s">
        <v>282</v>
      </c>
    </row>
    <row r="6" spans="1:4" ht="39.75" customHeight="1" x14ac:dyDescent="0.25">
      <c r="A6" s="3" t="s">
        <v>283</v>
      </c>
      <c r="B6" s="4" t="s">
        <v>284</v>
      </c>
      <c r="C6" s="22" t="s">
        <v>285</v>
      </c>
      <c r="D6" s="4" t="s">
        <v>286</v>
      </c>
    </row>
    <row r="7" spans="1:4" ht="39.75" customHeight="1" x14ac:dyDescent="0.25">
      <c r="A7" s="3" t="s">
        <v>287</v>
      </c>
      <c r="B7" s="4" t="s">
        <v>288</v>
      </c>
      <c r="C7" s="17" t="s">
        <v>48</v>
      </c>
      <c r="D7" s="4" t="s">
        <v>289</v>
      </c>
    </row>
    <row r="8" spans="1:4" ht="39.75" customHeight="1" x14ac:dyDescent="0.25">
      <c r="A8" s="3" t="s">
        <v>290</v>
      </c>
      <c r="B8" s="4" t="s">
        <v>291</v>
      </c>
      <c r="C8" s="17" t="s">
        <v>48</v>
      </c>
      <c r="D8" s="4" t="s">
        <v>292</v>
      </c>
    </row>
    <row r="9" spans="1:4" ht="39.75" customHeight="1" x14ac:dyDescent="0.25">
      <c r="A9" s="3" t="s">
        <v>293</v>
      </c>
      <c r="B9" s="4" t="s">
        <v>294</v>
      </c>
      <c r="C9" s="17" t="s">
        <v>48</v>
      </c>
      <c r="D9" s="4" t="s">
        <v>295</v>
      </c>
    </row>
    <row r="10" spans="1:4" ht="39.75" customHeight="1" x14ac:dyDescent="0.25">
      <c r="A10" s="3" t="s">
        <v>296</v>
      </c>
      <c r="B10" s="4" t="s">
        <v>297</v>
      </c>
      <c r="C10" s="22" t="s">
        <v>285</v>
      </c>
      <c r="D10" s="4" t="s">
        <v>298</v>
      </c>
    </row>
    <row r="11" spans="1:4" ht="39.75" customHeight="1" x14ac:dyDescent="0.25">
      <c r="A11" s="3" t="s">
        <v>299</v>
      </c>
      <c r="B11" s="4" t="s">
        <v>300</v>
      </c>
      <c r="C11" s="20" t="s">
        <v>94</v>
      </c>
      <c r="D11" s="4" t="s">
        <v>301</v>
      </c>
    </row>
    <row r="12" spans="1:4" ht="39.75" customHeight="1" x14ac:dyDescent="0.25">
      <c r="A12" s="3" t="s">
        <v>302</v>
      </c>
      <c r="B12" s="4" t="s">
        <v>303</v>
      </c>
      <c r="C12" s="17" t="s">
        <v>48</v>
      </c>
      <c r="D12" s="4" t="s">
        <v>304</v>
      </c>
    </row>
    <row r="13" spans="1:4" ht="39.75" customHeight="1" x14ac:dyDescent="0.25">
      <c r="A13" s="3" t="s">
        <v>305</v>
      </c>
      <c r="B13" s="4" t="s">
        <v>306</v>
      </c>
      <c r="C13" s="17" t="s">
        <v>48</v>
      </c>
      <c r="D13" s="4" t="s">
        <v>307</v>
      </c>
    </row>
    <row r="14" spans="1:4" ht="39.75" customHeight="1" x14ac:dyDescent="0.25">
      <c r="A14" s="3" t="s">
        <v>308</v>
      </c>
      <c r="B14" s="4" t="s">
        <v>309</v>
      </c>
      <c r="C14" s="17" t="s">
        <v>48</v>
      </c>
      <c r="D14" s="4" t="s">
        <v>310</v>
      </c>
    </row>
    <row r="15" spans="1:4" ht="39.75" customHeight="1" x14ac:dyDescent="0.25">
      <c r="A15" s="3" t="s">
        <v>311</v>
      </c>
      <c r="B15" s="4" t="s">
        <v>312</v>
      </c>
      <c r="C15" s="17" t="s">
        <v>48</v>
      </c>
      <c r="D15" s="4" t="s">
        <v>313</v>
      </c>
    </row>
    <row r="16" spans="1:4" ht="39.75" customHeight="1" x14ac:dyDescent="0.25">
      <c r="A16" s="3" t="s">
        <v>314</v>
      </c>
      <c r="B16" s="4" t="s">
        <v>315</v>
      </c>
      <c r="C16" s="17" t="s">
        <v>48</v>
      </c>
      <c r="D16" s="4" t="s">
        <v>316</v>
      </c>
    </row>
    <row r="17" spans="1:4" ht="39.75" customHeight="1" x14ac:dyDescent="0.25">
      <c r="A17" s="3" t="s">
        <v>317</v>
      </c>
      <c r="B17" s="4" t="s">
        <v>318</v>
      </c>
      <c r="C17" s="17" t="s">
        <v>48</v>
      </c>
      <c r="D17" s="4" t="s">
        <v>319</v>
      </c>
    </row>
    <row r="18" spans="1:4" ht="39.75" customHeight="1" x14ac:dyDescent="0.25">
      <c r="A18" s="3" t="s">
        <v>320</v>
      </c>
      <c r="B18" s="4" t="s">
        <v>321</v>
      </c>
      <c r="C18" s="17" t="s">
        <v>48</v>
      </c>
      <c r="D18" s="4" t="s">
        <v>322</v>
      </c>
    </row>
  </sheetData>
  <autoFilter ref="A4:D18" xr:uid="{00000000-0009-0000-0000-000004000000}"/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showGridLines="0" zoomScaleNormal="100" workbookViewId="0">
      <pane ySplit="4" topLeftCell="A5" activePane="bottomLeft" state="frozen"/>
      <selection pane="bottomLeft" sqref="A1:D1"/>
    </sheetView>
  </sheetViews>
  <sheetFormatPr defaultColWidth="8.7109375" defaultRowHeight="15" x14ac:dyDescent="0.25"/>
  <cols>
    <col min="1" max="1" width="20" customWidth="1"/>
    <col min="2" max="2" width="34" customWidth="1"/>
    <col min="3" max="3" width="50" customWidth="1"/>
    <col min="4" max="4" width="16" customWidth="1"/>
  </cols>
  <sheetData>
    <row r="1" spans="1:4" ht="30" customHeight="1" x14ac:dyDescent="0.25">
      <c r="A1" s="33" t="s">
        <v>323</v>
      </c>
      <c r="B1" s="33"/>
      <c r="C1" s="33"/>
      <c r="D1" s="33"/>
    </row>
    <row r="2" spans="1:4" ht="18" customHeight="1" x14ac:dyDescent="0.25">
      <c r="A2" s="34" t="s">
        <v>324</v>
      </c>
      <c r="B2" s="34"/>
      <c r="C2" s="34"/>
      <c r="D2" s="34"/>
    </row>
    <row r="4" spans="1:4" ht="21.75" customHeight="1" x14ac:dyDescent="0.25">
      <c r="A4" s="2" t="s">
        <v>325</v>
      </c>
      <c r="B4" s="2" t="s">
        <v>326</v>
      </c>
      <c r="C4" s="2" t="s">
        <v>327</v>
      </c>
      <c r="D4" s="2" t="s">
        <v>328</v>
      </c>
    </row>
    <row r="5" spans="1:4" ht="33.75" customHeight="1" x14ac:dyDescent="0.25">
      <c r="A5" s="23" t="s">
        <v>329</v>
      </c>
      <c r="B5" s="4" t="s">
        <v>330</v>
      </c>
      <c r="C5" s="4" t="s">
        <v>331</v>
      </c>
      <c r="D5" s="20" t="s">
        <v>95</v>
      </c>
    </row>
    <row r="6" spans="1:4" ht="33.75" customHeight="1" x14ac:dyDescent="0.25">
      <c r="A6" s="23" t="s">
        <v>329</v>
      </c>
      <c r="B6" s="4" t="s">
        <v>332</v>
      </c>
      <c r="C6" s="4" t="s">
        <v>333</v>
      </c>
      <c r="D6" s="20" t="s">
        <v>95</v>
      </c>
    </row>
    <row r="7" spans="1:4" ht="33.75" customHeight="1" x14ac:dyDescent="0.25">
      <c r="A7" s="23" t="s">
        <v>329</v>
      </c>
      <c r="B7" s="4" t="s">
        <v>334</v>
      </c>
      <c r="C7" s="4" t="s">
        <v>335</v>
      </c>
      <c r="D7" s="20" t="s">
        <v>95</v>
      </c>
    </row>
    <row r="8" spans="1:4" ht="33.75" customHeight="1" x14ac:dyDescent="0.25">
      <c r="A8" s="23" t="s">
        <v>329</v>
      </c>
      <c r="B8" s="4" t="s">
        <v>336</v>
      </c>
      <c r="C8" s="4" t="s">
        <v>337</v>
      </c>
      <c r="D8" s="20" t="s">
        <v>94</v>
      </c>
    </row>
    <row r="9" spans="1:4" ht="33.75" customHeight="1" x14ac:dyDescent="0.25">
      <c r="A9" s="23" t="s">
        <v>329</v>
      </c>
      <c r="B9" s="4" t="s">
        <v>338</v>
      </c>
      <c r="C9" s="4" t="s">
        <v>339</v>
      </c>
      <c r="D9" s="20" t="s">
        <v>95</v>
      </c>
    </row>
    <row r="10" spans="1:4" ht="33.75" customHeight="1" x14ac:dyDescent="0.25">
      <c r="A10" s="23" t="s">
        <v>329</v>
      </c>
      <c r="B10" s="4" t="s">
        <v>340</v>
      </c>
      <c r="C10" s="4" t="s">
        <v>341</v>
      </c>
      <c r="D10" s="20" t="s">
        <v>95</v>
      </c>
    </row>
    <row r="11" spans="1:4" ht="33.75" customHeight="1" x14ac:dyDescent="0.25">
      <c r="A11" s="23" t="s">
        <v>329</v>
      </c>
      <c r="B11" s="4" t="s">
        <v>342</v>
      </c>
      <c r="C11" s="4" t="s">
        <v>343</v>
      </c>
      <c r="D11" s="20" t="s">
        <v>94</v>
      </c>
    </row>
    <row r="12" spans="1:4" ht="33.75" customHeight="1" x14ac:dyDescent="0.25">
      <c r="A12" s="23" t="s">
        <v>329</v>
      </c>
      <c r="B12" s="4" t="s">
        <v>344</v>
      </c>
      <c r="C12" s="4" t="s">
        <v>345</v>
      </c>
      <c r="D12" s="20" t="s">
        <v>94</v>
      </c>
    </row>
    <row r="13" spans="1:4" ht="33.75" customHeight="1" x14ac:dyDescent="0.25">
      <c r="A13" s="23" t="s">
        <v>329</v>
      </c>
      <c r="B13" s="4" t="s">
        <v>346</v>
      </c>
      <c r="C13" s="4" t="s">
        <v>347</v>
      </c>
      <c r="D13" s="20" t="s">
        <v>95</v>
      </c>
    </row>
    <row r="14" spans="1:4" ht="33.75" customHeight="1" x14ac:dyDescent="0.25">
      <c r="A14" s="23" t="s">
        <v>348</v>
      </c>
      <c r="B14" s="4" t="s">
        <v>349</v>
      </c>
      <c r="C14" s="4" t="s">
        <v>350</v>
      </c>
      <c r="D14" s="19" t="s">
        <v>88</v>
      </c>
    </row>
    <row r="15" spans="1:4" ht="33.75" customHeight="1" x14ac:dyDescent="0.25">
      <c r="A15" s="23" t="s">
        <v>348</v>
      </c>
      <c r="B15" s="4" t="s">
        <v>351</v>
      </c>
      <c r="C15" s="4" t="s">
        <v>352</v>
      </c>
      <c r="D15" s="21" t="s">
        <v>227</v>
      </c>
    </row>
    <row r="16" spans="1:4" ht="33.75" customHeight="1" x14ac:dyDescent="0.25">
      <c r="A16" s="23" t="s">
        <v>348</v>
      </c>
      <c r="B16" s="4" t="s">
        <v>229</v>
      </c>
      <c r="C16" s="4" t="s">
        <v>353</v>
      </c>
      <c r="D16" s="21" t="s">
        <v>227</v>
      </c>
    </row>
    <row r="17" spans="1:4" ht="33.75" customHeight="1" x14ac:dyDescent="0.25">
      <c r="A17" s="23" t="s">
        <v>348</v>
      </c>
      <c r="B17" s="4" t="s">
        <v>354</v>
      </c>
      <c r="C17" s="4" t="s">
        <v>355</v>
      </c>
      <c r="D17" s="21" t="s">
        <v>227</v>
      </c>
    </row>
    <row r="18" spans="1:4" ht="33.75" customHeight="1" x14ac:dyDescent="0.25">
      <c r="A18" s="23" t="s">
        <v>348</v>
      </c>
      <c r="B18" s="4" t="s">
        <v>356</v>
      </c>
      <c r="C18" s="4" t="s">
        <v>357</v>
      </c>
      <c r="D18" s="20" t="s">
        <v>95</v>
      </c>
    </row>
    <row r="19" spans="1:4" ht="33.75" customHeight="1" x14ac:dyDescent="0.25">
      <c r="A19" s="23" t="s">
        <v>348</v>
      </c>
      <c r="B19" s="4" t="s">
        <v>358</v>
      </c>
      <c r="C19" s="4" t="s">
        <v>359</v>
      </c>
      <c r="D19" s="20" t="s">
        <v>94</v>
      </c>
    </row>
    <row r="20" spans="1:4" ht="33.75" customHeight="1" x14ac:dyDescent="0.25">
      <c r="A20" s="23" t="s">
        <v>348</v>
      </c>
      <c r="B20" s="4" t="s">
        <v>360</v>
      </c>
      <c r="C20" s="4" t="s">
        <v>361</v>
      </c>
      <c r="D20" s="20" t="s">
        <v>94</v>
      </c>
    </row>
    <row r="21" spans="1:4" ht="33.75" customHeight="1" x14ac:dyDescent="0.25">
      <c r="A21" s="23" t="s">
        <v>348</v>
      </c>
      <c r="B21" s="4" t="s">
        <v>362</v>
      </c>
      <c r="C21" s="4" t="s">
        <v>363</v>
      </c>
      <c r="D21" s="21" t="s">
        <v>227</v>
      </c>
    </row>
    <row r="22" spans="1:4" ht="33.75" customHeight="1" x14ac:dyDescent="0.25">
      <c r="A22" s="23" t="s">
        <v>364</v>
      </c>
      <c r="B22" s="4" t="s">
        <v>365</v>
      </c>
      <c r="C22" s="4" t="s">
        <v>366</v>
      </c>
      <c r="D22" s="20" t="s">
        <v>94</v>
      </c>
    </row>
    <row r="23" spans="1:4" ht="33.75" customHeight="1" x14ac:dyDescent="0.25">
      <c r="A23" s="23" t="s">
        <v>364</v>
      </c>
      <c r="B23" s="4" t="s">
        <v>367</v>
      </c>
      <c r="C23" s="4" t="s">
        <v>368</v>
      </c>
      <c r="D23" s="21" t="s">
        <v>269</v>
      </c>
    </row>
  </sheetData>
  <autoFilter ref="A4:D23" xr:uid="{00000000-0009-0000-0000-000005000000}"/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9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28" customWidth="1"/>
    <col min="2" max="3" width="16" customWidth="1"/>
  </cols>
  <sheetData>
    <row r="1" spans="1:3" ht="30" customHeight="1" x14ac:dyDescent="0.25">
      <c r="A1" s="33" t="s">
        <v>369</v>
      </c>
      <c r="B1" s="33"/>
      <c r="C1" s="33"/>
    </row>
    <row r="2" spans="1:3" ht="18" customHeight="1" x14ac:dyDescent="0.25">
      <c r="A2" s="34" t="s">
        <v>370</v>
      </c>
      <c r="B2" s="34"/>
      <c r="C2" s="34"/>
    </row>
    <row r="4" spans="1:3" x14ac:dyDescent="0.25">
      <c r="A4" s="24" t="s">
        <v>371</v>
      </c>
    </row>
    <row r="5" spans="1:3" x14ac:dyDescent="0.25">
      <c r="A5" s="2" t="s">
        <v>73</v>
      </c>
      <c r="B5" s="2" t="s">
        <v>45</v>
      </c>
      <c r="C5" s="2" t="s">
        <v>372</v>
      </c>
    </row>
    <row r="6" spans="1:3" x14ac:dyDescent="0.25">
      <c r="A6" s="5" t="s">
        <v>78</v>
      </c>
      <c r="B6" s="25">
        <f>COUNTIF('Comms vs HyTalk MC'!E5:E28,"Parity")</f>
        <v>5</v>
      </c>
      <c r="C6" s="26">
        <f t="shared" ref="C6:C11" si="0">B6/SUM($B$6:$B$11)</f>
        <v>0.20833333333333334</v>
      </c>
    </row>
    <row r="7" spans="1:3" x14ac:dyDescent="0.25">
      <c r="A7" s="5" t="s">
        <v>152</v>
      </c>
      <c r="B7" s="25">
        <f>COUNTIF('Comms vs HyTalk MC'!E5:E28,"AEGIS leads")</f>
        <v>2</v>
      </c>
      <c r="C7" s="26">
        <f t="shared" si="0"/>
        <v>8.3333333333333329E-2</v>
      </c>
    </row>
    <row r="8" spans="1:3" x14ac:dyDescent="0.25">
      <c r="A8" s="9" t="s">
        <v>83</v>
      </c>
      <c r="B8" s="25">
        <f>COUNTIF('Comms vs HyTalk MC'!E5:E28,"Partial")</f>
        <v>1</v>
      </c>
      <c r="C8" s="26">
        <f t="shared" si="0"/>
        <v>4.1666666666666664E-2</v>
      </c>
    </row>
    <row r="9" spans="1:3" x14ac:dyDescent="0.25">
      <c r="A9" s="11" t="s">
        <v>89</v>
      </c>
      <c r="B9" s="25">
        <f>COUNTIF('Comms vs HyTalk MC'!E5:E28,"Gap")</f>
        <v>8</v>
      </c>
      <c r="C9" s="26">
        <f t="shared" si="0"/>
        <v>0.33333333333333331</v>
      </c>
    </row>
    <row r="10" spans="1:3" x14ac:dyDescent="0.25">
      <c r="A10" s="11" t="s">
        <v>95</v>
      </c>
      <c r="B10" s="25">
        <f>COUNTIF('Comms vs HyTalk MC'!E5:E28,"Missing")</f>
        <v>8</v>
      </c>
      <c r="C10" s="26">
        <f t="shared" si="0"/>
        <v>0.33333333333333331</v>
      </c>
    </row>
    <row r="11" spans="1:3" x14ac:dyDescent="0.25">
      <c r="A11" s="27" t="s">
        <v>227</v>
      </c>
      <c r="B11" s="25">
        <f>COUNTIF('Comms vs HyTalk MC'!E5:E28,"N/A scope")</f>
        <v>0</v>
      </c>
      <c r="C11" s="26">
        <f t="shared" si="0"/>
        <v>0</v>
      </c>
    </row>
    <row r="12" spans="1:3" x14ac:dyDescent="0.25">
      <c r="A12" s="28" t="s">
        <v>373</v>
      </c>
      <c r="B12" s="29">
        <f>SUM(B6:B11)</f>
        <v>24</v>
      </c>
      <c r="C12" s="30"/>
    </row>
    <row r="14" spans="1:3" x14ac:dyDescent="0.25">
      <c r="A14" s="24" t="s">
        <v>374</v>
      </c>
    </row>
    <row r="15" spans="1:3" x14ac:dyDescent="0.25">
      <c r="A15" s="2" t="s">
        <v>73</v>
      </c>
      <c r="B15" s="2" t="s">
        <v>45</v>
      </c>
      <c r="C15" s="2" t="s">
        <v>372</v>
      </c>
    </row>
    <row r="16" spans="1:3" x14ac:dyDescent="0.25">
      <c r="A16" s="5" t="s">
        <v>78</v>
      </c>
      <c r="B16" s="25">
        <f>COUNTIF('MDM vs Smart MDM'!E5:E30,"Parity")</f>
        <v>2</v>
      </c>
      <c r="C16" s="26">
        <f t="shared" ref="C16:C21" si="1">B16/SUM($B$16:$B$21)</f>
        <v>7.6923076923076927E-2</v>
      </c>
    </row>
    <row r="17" spans="1:3" x14ac:dyDescent="0.25">
      <c r="A17" s="5" t="s">
        <v>152</v>
      </c>
      <c r="B17" s="25">
        <f>COUNTIF('MDM vs Smart MDM'!E5:E30,"AEGIS leads")</f>
        <v>0</v>
      </c>
      <c r="C17" s="26">
        <f t="shared" si="1"/>
        <v>0</v>
      </c>
    </row>
    <row r="18" spans="1:3" x14ac:dyDescent="0.25">
      <c r="A18" s="9" t="s">
        <v>83</v>
      </c>
      <c r="B18" s="25">
        <f>COUNTIF('MDM vs Smart MDM'!E5:E30,"Partial")</f>
        <v>3</v>
      </c>
      <c r="C18" s="26">
        <f t="shared" si="1"/>
        <v>0.11538461538461539</v>
      </c>
    </row>
    <row r="19" spans="1:3" x14ac:dyDescent="0.25">
      <c r="A19" s="11" t="s">
        <v>89</v>
      </c>
      <c r="B19" s="25">
        <f>COUNTIF('MDM vs Smart MDM'!E5:E30,"Gap")</f>
        <v>15</v>
      </c>
      <c r="C19" s="26">
        <f t="shared" si="1"/>
        <v>0.57692307692307687</v>
      </c>
    </row>
    <row r="20" spans="1:3" x14ac:dyDescent="0.25">
      <c r="A20" s="11" t="s">
        <v>95</v>
      </c>
      <c r="B20" s="25">
        <f>COUNTIF('MDM vs Smart MDM'!E5:E30,"Missing")</f>
        <v>2</v>
      </c>
      <c r="C20" s="26">
        <f t="shared" si="1"/>
        <v>7.6923076923076927E-2</v>
      </c>
    </row>
    <row r="21" spans="1:3" x14ac:dyDescent="0.25">
      <c r="A21" s="27" t="s">
        <v>227</v>
      </c>
      <c r="B21" s="25">
        <f>COUNTIF('MDM vs Smart MDM'!E5:E30,"N/A scope")</f>
        <v>4</v>
      </c>
      <c r="C21" s="26">
        <f t="shared" si="1"/>
        <v>0.15384615384615385</v>
      </c>
    </row>
    <row r="22" spans="1:3" x14ac:dyDescent="0.25">
      <c r="A22" s="28" t="s">
        <v>373</v>
      </c>
      <c r="B22" s="29">
        <f>SUM(B16:B21)</f>
        <v>26</v>
      </c>
      <c r="C22" s="30"/>
    </row>
    <row r="24" spans="1:3" x14ac:dyDescent="0.25">
      <c r="A24" s="24" t="s">
        <v>375</v>
      </c>
    </row>
    <row r="25" spans="1:3" ht="15" customHeight="1" x14ac:dyDescent="0.25">
      <c r="A25" s="32" t="s">
        <v>376</v>
      </c>
      <c r="B25" s="32"/>
      <c r="C25" s="32"/>
    </row>
    <row r="26" spans="1:3" x14ac:dyDescent="0.25">
      <c r="A26" s="32"/>
      <c r="B26" s="32"/>
      <c r="C26" s="32"/>
    </row>
    <row r="27" spans="1:3" x14ac:dyDescent="0.25">
      <c r="A27" s="32"/>
      <c r="B27" s="32"/>
      <c r="C27" s="32"/>
    </row>
    <row r="28" spans="1:3" x14ac:dyDescent="0.25">
      <c r="A28" s="32"/>
      <c r="B28" s="32"/>
      <c r="C28" s="32"/>
    </row>
    <row r="29" spans="1:3" x14ac:dyDescent="0.25">
      <c r="A29" s="32"/>
      <c r="B29" s="32"/>
      <c r="C29" s="32"/>
    </row>
  </sheetData>
  <mergeCells count="3">
    <mergeCell ref="A1:C1"/>
    <mergeCell ref="A2:C2"/>
    <mergeCell ref="A25:C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AEGIS Status</vt:lpstr>
      <vt:lpstr>Comms vs HyTalk MC</vt:lpstr>
      <vt:lpstr>MDM vs Smart MDM</vt:lpstr>
      <vt:lpstr>Unique to AEGIS</vt:lpstr>
      <vt:lpstr>Hytera-only (AEGIS gaps)</vt:lpstr>
      <vt:lpstr>Scorecard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Affan Ahmad</cp:lastModifiedBy>
  <cp:revision>0</cp:revision>
  <dcterms:created xsi:type="dcterms:W3CDTF">2026-06-03T10:50:54Z</dcterms:created>
  <dcterms:modified xsi:type="dcterms:W3CDTF">2026-06-11T10:48:37Z</dcterms:modified>
  <cp:category/>
  <cp:contentStatus/>
</cp:coreProperties>
</file>